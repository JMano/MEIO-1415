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009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brunopereira/Documents/SourceTree/MEIO/TP2/"/>
    </mc:Choice>
  </mc:AlternateContent>
  <bookViews>
    <workbookView xWindow="0" yWindow="460" windowWidth="25600" windowHeight="15460" activeTab="3"/>
  </bookViews>
  <sheets>
    <sheet name="Dados" sheetId="15" r:id="rId1"/>
    <sheet name="Dados TP2" sheetId="4" r:id="rId2"/>
    <sheet name="prazo_entrega" sheetId="8" r:id="rId3"/>
    <sheet name="Q1_2014" sheetId="9" r:id="rId4"/>
    <sheet name="Plan1" sheetId="12" state="hidden" r:id="rId5"/>
    <sheet name="Plan2" sheetId="13" state="hidden" r:id="rId6"/>
    <sheet name="Plan3" sheetId="14" state="hidden" r:id="rId7"/>
    <sheet name="Q2_2015" sheetId="10" r:id="rId8"/>
    <sheet name="simulacao" sheetId="11" r:id="rId9"/>
  </sheets>
  <externalReferences>
    <externalReference r:id="rId10"/>
  </externalReferences>
  <definedNames>
    <definedName name="c_1" localSheetId="7">Q2_2015!$B$1</definedName>
    <definedName name="c_1">Q1_2014!$B$1</definedName>
    <definedName name="c_2" localSheetId="7">Q2_2015!$B$2</definedName>
    <definedName name="c_2">Q1_2014!$B$2</definedName>
    <definedName name="c_3" localSheetId="7">Q2_2015!$B$3</definedName>
    <definedName name="c_3">Q1_2014!$B$3</definedName>
    <definedName name="coiso">simulacao!#REF!</definedName>
    <definedName name="CumProb" localSheetId="2">#REF!</definedName>
    <definedName name="CumProb" localSheetId="7">#REF!</definedName>
    <definedName name="CumProb">#REF!</definedName>
    <definedName name="D" localSheetId="2">'[1]Nível (VBA)'!#REF!</definedName>
    <definedName name="D" localSheetId="7">'[1]Nível (VBA)'!#REF!</definedName>
    <definedName name="D">'[1]Nível (VBA)'!#REF!</definedName>
    <definedName name="Demand" localSheetId="2">'[1]Nível (VBA)'!#REF!</definedName>
    <definedName name="Demand" localSheetId="7">'[1]Nível (VBA)'!#REF!</definedName>
    <definedName name="Demand">'[1]Nível (VBA)'!#REF!</definedName>
    <definedName name="Level" localSheetId="2">'[1]Nível (VBA)'!#REF!</definedName>
    <definedName name="Level" localSheetId="7">'[1]Nível (VBA)'!#REF!</definedName>
    <definedName name="Level">'[1]Nível (VBA)'!#REF!</definedName>
    <definedName name="Mean" localSheetId="2">#REF!</definedName>
    <definedName name="Mean" localSheetId="7">#REF!</definedName>
    <definedName name="Mean">#REF!</definedName>
    <definedName name="NE" localSheetId="2">'[1]Nível (VBA)'!#REF!</definedName>
    <definedName name="NE" localSheetId="7">'[1]Nível (VBA)'!#REF!</definedName>
    <definedName name="NE">'[1]Nível (VBA)'!#REF!</definedName>
    <definedName name="NM" localSheetId="2">'[1]Nível (VBA)'!#REF!</definedName>
    <definedName name="NM" localSheetId="7">'[1]Nível (VBA)'!#REF!</definedName>
    <definedName name="NM">'[1]Nível (VBA)'!#REF!</definedName>
    <definedName name="NPers" localSheetId="2">#REF!</definedName>
    <definedName name="NPers" localSheetId="7">#REF!</definedName>
    <definedName name="NPers">#REF!</definedName>
    <definedName name="PQ" localSheetId="2">'[1]Nível (VBA)'!#REF!</definedName>
    <definedName name="PQ" localSheetId="7">'[1]Nível (VBA)'!#REF!</definedName>
    <definedName name="PQ">'[1]Nível (VBA)'!#REF!</definedName>
    <definedName name="Prob" localSheetId="2">#REF!</definedName>
    <definedName name="Prob" localSheetId="7">#REF!</definedName>
    <definedName name="Prob">#REF!</definedName>
    <definedName name="S" localSheetId="2">'[1]Nível (VBA)'!#REF!</definedName>
    <definedName name="S" localSheetId="7">'[1]Nível (VBA)'!#REF!</definedName>
    <definedName name="S">'[1]Nível (VBA)'!#REF!</definedName>
    <definedName name="sfd">simulacao!#REF!</definedName>
    <definedName name="solver_adj" localSheetId="2" hidden="1">prazo_entrega!$B$27:$B$28</definedName>
    <definedName name="solver_adj" localSheetId="3" hidden="1">Q1_2014!$I$7</definedName>
    <definedName name="solver_adj" localSheetId="7" hidden="1">Q2_2015!$I$7</definedName>
    <definedName name="solver_cvg" localSheetId="2" hidden="1">0.0001</definedName>
    <definedName name="solver_cvg" localSheetId="3" hidden="1">0.0001</definedName>
    <definedName name="solver_cvg" localSheetId="7" hidden="1">0.0001</definedName>
    <definedName name="solver_drv" localSheetId="2" hidden="1">1</definedName>
    <definedName name="solver_drv" localSheetId="3" hidden="1">1</definedName>
    <definedName name="solver_drv" localSheetId="7" hidden="1">1</definedName>
    <definedName name="solver_est" localSheetId="2" hidden="1">1</definedName>
    <definedName name="solver_est" localSheetId="3" hidden="1">1</definedName>
    <definedName name="solver_est" localSheetId="7" hidden="1">1</definedName>
    <definedName name="solver_itr" localSheetId="2" hidden="1">1000</definedName>
    <definedName name="solver_itr" localSheetId="3" hidden="1">100</definedName>
    <definedName name="solver_itr" localSheetId="7" hidden="1">100</definedName>
    <definedName name="solver_lin" localSheetId="2" hidden="1">2</definedName>
    <definedName name="solver_lin" localSheetId="3" hidden="1">2</definedName>
    <definedName name="solver_lin" localSheetId="7" hidden="1">2</definedName>
    <definedName name="solver_neg" localSheetId="2" hidden="1">1</definedName>
    <definedName name="solver_neg" localSheetId="3" hidden="1">2</definedName>
    <definedName name="solver_neg" localSheetId="7" hidden="1">2</definedName>
    <definedName name="solver_num" localSheetId="2" hidden="1">0</definedName>
    <definedName name="solver_num" localSheetId="3" hidden="1">0</definedName>
    <definedName name="solver_num" localSheetId="7" hidden="1">0</definedName>
    <definedName name="solver_nwt" localSheetId="2" hidden="1">1</definedName>
    <definedName name="solver_nwt" localSheetId="3" hidden="1">1</definedName>
    <definedName name="solver_nwt" localSheetId="7" hidden="1">1</definedName>
    <definedName name="solver_opt" localSheetId="2" hidden="1">prazo_entrega!$H$26</definedName>
    <definedName name="solver_opt" localSheetId="3" hidden="1">Q1_2014!$N$10</definedName>
    <definedName name="solver_opt" localSheetId="7" hidden="1">Q2_2015!$N$10</definedName>
    <definedName name="solver_pre" localSheetId="2" hidden="1">0.000001</definedName>
    <definedName name="solver_pre" localSheetId="3" hidden="1">0.000001</definedName>
    <definedName name="solver_pre" localSheetId="7" hidden="1">0.000001</definedName>
    <definedName name="solver_scl" localSheetId="2" hidden="1">1</definedName>
    <definedName name="solver_scl" localSheetId="3" hidden="1">2</definedName>
    <definedName name="solver_scl" localSheetId="7" hidden="1">2</definedName>
    <definedName name="solver_sho" localSheetId="2" hidden="1">2</definedName>
    <definedName name="solver_sho" localSheetId="3" hidden="1">2</definedName>
    <definedName name="solver_sho" localSheetId="7" hidden="1">2</definedName>
    <definedName name="solver_tim" localSheetId="2" hidden="1">1000</definedName>
    <definedName name="solver_tim" localSheetId="3" hidden="1">100</definedName>
    <definedName name="solver_tim" localSheetId="7" hidden="1">100</definedName>
    <definedName name="solver_tol" localSheetId="2" hidden="1">0.01</definedName>
    <definedName name="solver_tol" localSheetId="3" hidden="1">0.05</definedName>
    <definedName name="solver_tol" localSheetId="7" hidden="1">0.05</definedName>
    <definedName name="solver_typ" localSheetId="2" hidden="1">2</definedName>
    <definedName name="solver_typ" localSheetId="3" hidden="1">3</definedName>
    <definedName name="solver_typ" localSheetId="7" hidden="1">3</definedName>
    <definedName name="solver_val" localSheetId="2" hidden="1">0</definedName>
    <definedName name="solver_val" localSheetId="3" hidden="1">2</definedName>
    <definedName name="solver_val" localSheetId="7" hidden="1">2</definedName>
    <definedName name="test" localSheetId="2">'[1]Nível (VBA)'!#REF!</definedName>
    <definedName name="test" localSheetId="7">'[1]Nível (VBA)'!#REF!</definedName>
    <definedName name="test">'[1]Nível (VBA)'!#REF!</definedName>
    <definedName name="Value" localSheetId="2">#REF!</definedName>
    <definedName name="Value" localSheetId="7">#REF!</definedName>
    <definedName name="Value">#REF!</definedName>
  </definedNames>
  <calcPr calcId="15000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9" i="10" l="1"/>
  <c r="U12" i="4"/>
  <c r="I15" i="11"/>
  <c r="I6" i="11"/>
  <c r="E55" i="11"/>
  <c r="E56" i="11"/>
  <c r="B8" i="10"/>
  <c r="B8" i="9"/>
  <c r="B31" i="9"/>
  <c r="B9" i="9"/>
  <c r="F31" i="9"/>
  <c r="J31" i="9"/>
  <c r="B10" i="9"/>
  <c r="E8" i="9"/>
  <c r="M25" i="9"/>
  <c r="B27" i="9"/>
  <c r="C9" i="9"/>
  <c r="C8" i="9"/>
  <c r="B57" i="15"/>
  <c r="C57" i="15"/>
  <c r="D57" i="15"/>
  <c r="B58" i="15"/>
  <c r="C58" i="15"/>
  <c r="D58" i="15"/>
  <c r="I7" i="11"/>
  <c r="I8" i="11"/>
  <c r="I9" i="11"/>
  <c r="I10" i="11"/>
  <c r="I11" i="11"/>
  <c r="I12" i="11"/>
  <c r="I13" i="11"/>
  <c r="I14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N55" i="11"/>
  <c r="B14" i="10"/>
  <c r="I7" i="10"/>
  <c r="I8" i="10"/>
  <c r="E8" i="10"/>
  <c r="F8" i="10"/>
  <c r="L8" i="10"/>
  <c r="B15" i="10"/>
  <c r="J7" i="10"/>
  <c r="J8" i="10"/>
  <c r="L9" i="10"/>
  <c r="F15" i="10"/>
  <c r="J13" i="10"/>
  <c r="C14" i="11"/>
  <c r="B14" i="9"/>
  <c r="F14" i="9"/>
  <c r="I7" i="9"/>
  <c r="I8" i="9"/>
  <c r="C10" i="9"/>
  <c r="F8" i="9"/>
  <c r="L8" i="9"/>
  <c r="B15" i="9"/>
  <c r="I56" i="11"/>
  <c r="S9" i="10"/>
  <c r="S17" i="10"/>
  <c r="Z8" i="10"/>
  <c r="Z9" i="10"/>
  <c r="S10" i="10"/>
  <c r="T9" i="10"/>
  <c r="T10" i="10"/>
  <c r="W9" i="10"/>
  <c r="AB9" i="10"/>
  <c r="B9" i="10"/>
  <c r="F14" i="10"/>
  <c r="N8" i="10"/>
  <c r="AC9" i="10"/>
  <c r="B10" i="10"/>
  <c r="C8" i="10"/>
  <c r="C10" i="10"/>
  <c r="I25" i="10"/>
  <c r="E9" i="10"/>
  <c r="C9" i="10"/>
  <c r="F9" i="10"/>
  <c r="T12" i="4"/>
  <c r="Q34" i="4"/>
  <c r="U44" i="4"/>
  <c r="T44" i="4"/>
  <c r="T11" i="4"/>
  <c r="J7" i="9"/>
  <c r="J8" i="9"/>
  <c r="E9" i="9"/>
  <c r="F9" i="9"/>
  <c r="L9" i="9"/>
  <c r="I25" i="9"/>
  <c r="N25" i="9"/>
  <c r="J25" i="9"/>
  <c r="N9" i="9"/>
  <c r="N8" i="9"/>
  <c r="N10" i="9"/>
  <c r="M9" i="9"/>
  <c r="M8" i="9"/>
  <c r="B18" i="9"/>
  <c r="Y9" i="8"/>
  <c r="Y5" i="8"/>
  <c r="Y3" i="8"/>
  <c r="Q67" i="4"/>
  <c r="P67" i="4"/>
  <c r="O67" i="4"/>
  <c r="Q66" i="4"/>
  <c r="P66" i="4"/>
  <c r="O66" i="4"/>
  <c r="Q65" i="4"/>
  <c r="P65" i="4"/>
  <c r="O65" i="4"/>
  <c r="Q64" i="4"/>
  <c r="P64" i="4"/>
  <c r="O64" i="4"/>
  <c r="Q37" i="4"/>
  <c r="Q36" i="4"/>
  <c r="Q35" i="4"/>
  <c r="P37" i="4"/>
  <c r="P36" i="4"/>
  <c r="P35" i="4"/>
  <c r="P34" i="4"/>
  <c r="O37" i="4"/>
  <c r="O36" i="4"/>
  <c r="O35" i="4"/>
  <c r="O34" i="4"/>
  <c r="D58" i="4"/>
  <c r="C58" i="4"/>
  <c r="B58" i="4"/>
  <c r="D57" i="4"/>
  <c r="C57" i="4"/>
  <c r="B57" i="4"/>
  <c r="AA2" i="8"/>
  <c r="Z2" i="8"/>
  <c r="Z3" i="8"/>
  <c r="H27" i="8"/>
  <c r="F21" i="8"/>
  <c r="F22" i="8"/>
  <c r="F23" i="8"/>
  <c r="E21" i="8"/>
  <c r="E22" i="8"/>
  <c r="E23" i="8"/>
  <c r="B15" i="8"/>
  <c r="B14" i="8"/>
  <c r="D12" i="8"/>
  <c r="D13" i="8"/>
  <c r="D14" i="8"/>
  <c r="D15" i="8"/>
  <c r="D11" i="8"/>
  <c r="D16" i="8"/>
  <c r="C14" i="8"/>
  <c r="H9" i="8"/>
  <c r="F3" i="8"/>
  <c r="F4" i="8"/>
  <c r="F5" i="8"/>
  <c r="F6" i="8"/>
  <c r="F2" i="8"/>
  <c r="E6" i="8"/>
  <c r="B26" i="8"/>
  <c r="C21" i="8"/>
  <c r="D21" i="8"/>
  <c r="C5" i="8"/>
  <c r="B8" i="8"/>
  <c r="C4" i="8"/>
  <c r="E5" i="8"/>
  <c r="E4" i="8"/>
  <c r="E3" i="8"/>
  <c r="E2" i="8"/>
  <c r="E13" i="8"/>
  <c r="E14" i="8"/>
  <c r="E15" i="8"/>
  <c r="E12" i="8"/>
  <c r="E11" i="8"/>
  <c r="E16" i="8"/>
  <c r="C15" i="8"/>
  <c r="G15" i="8"/>
  <c r="C3" i="8"/>
  <c r="C23" i="8"/>
  <c r="G21" i="8"/>
  <c r="I21" i="8"/>
  <c r="C22" i="8"/>
  <c r="D22" i="8"/>
  <c r="D23" i="8"/>
  <c r="C2" i="8"/>
  <c r="D2" i="8"/>
  <c r="D3" i="8"/>
  <c r="D4" i="8"/>
  <c r="D5" i="8"/>
  <c r="G23" i="8"/>
  <c r="I23" i="8"/>
  <c r="G22" i="8"/>
  <c r="I22" i="8"/>
  <c r="F18" i="9"/>
  <c r="AA3" i="8"/>
  <c r="Y4" i="8"/>
  <c r="H21" i="8"/>
  <c r="J21" i="8"/>
  <c r="H22" i="8"/>
  <c r="J22" i="8"/>
  <c r="H23" i="8"/>
  <c r="J23" i="8"/>
  <c r="G4" i="8"/>
  <c r="G6" i="8"/>
  <c r="I6" i="8"/>
  <c r="G3" i="8"/>
  <c r="J3" i="8"/>
  <c r="C6" i="8"/>
  <c r="D6" i="8"/>
  <c r="G5" i="8"/>
  <c r="I5" i="8"/>
  <c r="G2" i="8"/>
  <c r="G14" i="8"/>
  <c r="J18" i="9"/>
  <c r="M26" i="9"/>
  <c r="F27" i="9"/>
  <c r="N26" i="9"/>
  <c r="AA4" i="8"/>
  <c r="Z4" i="8"/>
  <c r="E29" i="8"/>
  <c r="J4" i="8"/>
  <c r="I4" i="8"/>
  <c r="J6" i="8"/>
  <c r="H6" i="8"/>
  <c r="H26" i="8"/>
  <c r="I3" i="8"/>
  <c r="J5" i="8"/>
  <c r="H3" i="8"/>
  <c r="H5" i="8"/>
  <c r="H4" i="8"/>
  <c r="I2" i="8"/>
  <c r="J2" i="8"/>
  <c r="H2" i="8"/>
  <c r="J29" i="9"/>
  <c r="N27" i="9"/>
  <c r="Y6" i="8"/>
  <c r="Z5" i="8"/>
  <c r="AA5" i="8"/>
  <c r="F29" i="8"/>
  <c r="I26" i="8"/>
  <c r="J26" i="8"/>
  <c r="I8" i="8"/>
  <c r="J8" i="8"/>
  <c r="H8" i="8"/>
  <c r="F15" i="9"/>
  <c r="Y7" i="8"/>
  <c r="AA6" i="8"/>
  <c r="Z6" i="8"/>
  <c r="H29" i="8"/>
  <c r="H11" i="8"/>
  <c r="J13" i="9"/>
  <c r="Y8" i="8"/>
  <c r="Z7" i="8"/>
  <c r="AA7" i="8"/>
  <c r="U42" i="4"/>
  <c r="U43" i="4"/>
  <c r="U41" i="4"/>
  <c r="T42" i="4"/>
  <c r="T43" i="4"/>
  <c r="T41" i="4"/>
  <c r="U10" i="4"/>
  <c r="U11" i="4"/>
  <c r="T10" i="4"/>
  <c r="T9" i="4"/>
  <c r="B31" i="10"/>
  <c r="F31" i="10"/>
  <c r="U9" i="4"/>
  <c r="AA8" i="8"/>
  <c r="Z8" i="8"/>
  <c r="J31" i="10"/>
  <c r="M25" i="10"/>
  <c r="B27" i="10"/>
  <c r="J25" i="10"/>
  <c r="N26" i="10"/>
  <c r="M26" i="10"/>
  <c r="F27" i="10"/>
  <c r="F18" i="10"/>
  <c r="B18" i="10"/>
  <c r="Y10" i="8"/>
  <c r="Z9" i="8"/>
  <c r="AA9" i="8"/>
  <c r="N25" i="10"/>
  <c r="N27" i="10"/>
  <c r="J18" i="10"/>
  <c r="J29" i="10"/>
  <c r="Y11" i="8"/>
  <c r="AA10" i="8"/>
  <c r="Z10" i="8"/>
  <c r="N9" i="10"/>
  <c r="N10" i="10"/>
  <c r="M8" i="10"/>
  <c r="M9" i="10"/>
  <c r="Y12" i="8"/>
  <c r="Z11" i="8"/>
  <c r="AA11" i="8"/>
  <c r="Y13" i="8"/>
  <c r="AA12" i="8"/>
  <c r="Z12" i="8"/>
  <c r="Y14" i="8"/>
  <c r="Z13" i="8"/>
  <c r="AA13" i="8"/>
  <c r="Y15" i="8"/>
  <c r="AA14" i="8"/>
  <c r="Z14" i="8"/>
  <c r="Y16" i="8"/>
  <c r="Z15" i="8"/>
  <c r="AA15" i="8"/>
  <c r="Y17" i="8"/>
  <c r="AA16" i="8"/>
  <c r="Z16" i="8"/>
  <c r="Y18" i="8"/>
  <c r="Z17" i="8"/>
  <c r="AA17" i="8"/>
  <c r="Y19" i="8"/>
  <c r="AA18" i="8"/>
  <c r="Z18" i="8"/>
  <c r="Y20" i="8"/>
  <c r="Z19" i="8"/>
  <c r="AA19" i="8"/>
  <c r="AA20" i="8"/>
  <c r="Z20" i="8"/>
  <c r="Y21" i="8"/>
  <c r="Y22" i="8"/>
  <c r="Y23" i="8"/>
  <c r="Z21" i="8"/>
  <c r="AA21" i="8"/>
  <c r="AA23" i="8"/>
  <c r="Y24" i="8"/>
  <c r="Z23" i="8"/>
  <c r="AA22" i="8"/>
  <c r="Z22" i="8"/>
  <c r="Z24" i="8"/>
  <c r="AA24" i="8"/>
  <c r="Y25" i="8"/>
  <c r="Y26" i="8"/>
  <c r="Z25" i="8"/>
  <c r="AA25" i="8"/>
  <c r="Z26" i="8"/>
  <c r="AA26" i="8"/>
  <c r="Y27" i="8"/>
  <c r="AA27" i="8"/>
  <c r="Z27" i="8"/>
  <c r="Y28" i="8"/>
  <c r="Z28" i="8"/>
  <c r="Y29" i="8"/>
  <c r="AA28" i="8"/>
  <c r="AA29" i="8"/>
  <c r="Y30" i="8"/>
  <c r="Z29" i="8"/>
  <c r="Z30" i="8"/>
  <c r="Y31" i="8"/>
  <c r="AA30" i="8"/>
  <c r="Y32" i="8"/>
  <c r="Z31" i="8"/>
  <c r="AA31" i="8"/>
  <c r="Z32" i="8"/>
  <c r="AA32" i="8"/>
  <c r="Y33" i="8"/>
  <c r="Z33" i="8"/>
  <c r="Y34" i="8"/>
  <c r="AA33" i="8"/>
  <c r="Z34" i="8"/>
  <c r="AA34" i="8"/>
  <c r="Y35" i="8"/>
  <c r="Z35" i="8"/>
  <c r="AA35" i="8"/>
  <c r="Y36" i="8"/>
  <c r="Y37" i="8"/>
  <c r="Z36" i="8"/>
  <c r="AA36" i="8"/>
  <c r="Z37" i="8"/>
  <c r="AA37" i="8"/>
  <c r="Y38" i="8"/>
  <c r="Y39" i="8"/>
  <c r="Z38" i="8"/>
  <c r="AA38" i="8"/>
  <c r="Y40" i="8"/>
  <c r="Z39" i="8"/>
  <c r="AA39" i="8"/>
  <c r="Z40" i="8"/>
  <c r="Y41" i="8"/>
  <c r="AA40" i="8"/>
  <c r="AA41" i="8"/>
  <c r="Z41" i="8"/>
  <c r="Y42" i="8"/>
  <c r="AA42" i="8"/>
  <c r="Z42" i="8"/>
  <c r="J6" i="11"/>
  <c r="K6" i="11"/>
  <c r="L6" i="11"/>
  <c r="M6" i="11"/>
  <c r="J7" i="11"/>
  <c r="K7" i="11"/>
  <c r="L7" i="11"/>
  <c r="M7" i="11"/>
  <c r="J8" i="11"/>
  <c r="K8" i="11"/>
  <c r="L8" i="11"/>
  <c r="M8" i="11"/>
  <c r="J9" i="11"/>
  <c r="K9" i="11"/>
  <c r="L9" i="11"/>
  <c r="M9" i="11"/>
  <c r="J10" i="11"/>
  <c r="K10" i="11"/>
  <c r="L10" i="11"/>
  <c r="M10" i="11"/>
  <c r="J11" i="11"/>
  <c r="K11" i="11"/>
  <c r="L11" i="11"/>
  <c r="M11" i="11"/>
  <c r="J12" i="11"/>
  <c r="K12" i="11"/>
  <c r="L12" i="11"/>
  <c r="M12" i="11"/>
  <c r="J13" i="11"/>
  <c r="K13" i="11"/>
  <c r="L13" i="11"/>
  <c r="M13" i="11"/>
  <c r="J14" i="11"/>
  <c r="K14" i="11"/>
  <c r="L14" i="11"/>
  <c r="M14" i="11"/>
  <c r="J15" i="11"/>
  <c r="K15" i="11"/>
  <c r="L15" i="11"/>
  <c r="M15" i="11"/>
  <c r="J16" i="11"/>
  <c r="K16" i="11"/>
  <c r="L16" i="11"/>
  <c r="M16" i="11"/>
  <c r="J17" i="11"/>
  <c r="K17" i="11"/>
  <c r="L17" i="11"/>
  <c r="M17" i="11"/>
  <c r="J18" i="11"/>
  <c r="K18" i="11"/>
  <c r="L18" i="11"/>
  <c r="M18" i="11"/>
  <c r="J19" i="11"/>
  <c r="K19" i="11"/>
  <c r="L19" i="11"/>
  <c r="M19" i="11"/>
  <c r="J20" i="11"/>
  <c r="K20" i="11"/>
  <c r="L20" i="11"/>
  <c r="M20" i="11"/>
  <c r="J21" i="11"/>
  <c r="K21" i="11"/>
  <c r="L21" i="11"/>
  <c r="M21" i="11"/>
  <c r="J22" i="11"/>
  <c r="K22" i="11"/>
  <c r="L22" i="11"/>
  <c r="M22" i="11"/>
  <c r="J23" i="11"/>
  <c r="K23" i="11"/>
  <c r="L23" i="11"/>
  <c r="M23" i="11"/>
  <c r="J24" i="11"/>
  <c r="K24" i="11"/>
  <c r="L24" i="11"/>
  <c r="M24" i="11"/>
  <c r="J25" i="11"/>
  <c r="K25" i="11"/>
  <c r="L25" i="11"/>
  <c r="M25" i="11"/>
  <c r="J26" i="11"/>
  <c r="K26" i="11"/>
  <c r="L26" i="11"/>
  <c r="M26" i="11"/>
  <c r="J27" i="11"/>
  <c r="K27" i="11"/>
  <c r="L27" i="11"/>
  <c r="M27" i="11"/>
  <c r="J28" i="11"/>
  <c r="K28" i="11"/>
  <c r="L28" i="11"/>
  <c r="M28" i="11"/>
  <c r="J29" i="11"/>
  <c r="K29" i="11"/>
  <c r="L29" i="11"/>
  <c r="M29" i="11"/>
  <c r="J30" i="11"/>
  <c r="K30" i="11"/>
  <c r="L30" i="11"/>
  <c r="M30" i="11"/>
  <c r="J31" i="11"/>
  <c r="K31" i="11"/>
  <c r="L31" i="11"/>
  <c r="M31" i="11"/>
  <c r="J32" i="11"/>
  <c r="K32" i="11"/>
  <c r="L32" i="11"/>
  <c r="M32" i="11"/>
  <c r="J33" i="11"/>
  <c r="K33" i="11"/>
  <c r="L33" i="11"/>
  <c r="M33" i="11"/>
  <c r="J34" i="11"/>
  <c r="K34" i="11"/>
  <c r="L34" i="11"/>
  <c r="M34" i="11"/>
  <c r="J35" i="11"/>
  <c r="K35" i="11"/>
  <c r="L35" i="11"/>
  <c r="M35" i="11"/>
  <c r="J36" i="11"/>
  <c r="K36" i="11"/>
  <c r="L36" i="11"/>
  <c r="M36" i="11"/>
  <c r="J37" i="11"/>
  <c r="K37" i="11"/>
  <c r="L37" i="11"/>
  <c r="M37" i="11"/>
  <c r="J38" i="11"/>
  <c r="K38" i="11"/>
  <c r="L38" i="11"/>
  <c r="M38" i="11"/>
  <c r="J39" i="11"/>
  <c r="K39" i="11"/>
  <c r="L39" i="11"/>
  <c r="M39" i="11"/>
  <c r="J40" i="11"/>
  <c r="K40" i="11"/>
  <c r="L40" i="11"/>
  <c r="M40" i="11"/>
  <c r="J41" i="11"/>
  <c r="K41" i="11"/>
  <c r="L41" i="11"/>
  <c r="M41" i="11"/>
  <c r="J42" i="11"/>
  <c r="K42" i="11"/>
  <c r="L42" i="11"/>
  <c r="M42" i="11"/>
  <c r="J43" i="11"/>
  <c r="K43" i="11"/>
  <c r="L43" i="11"/>
  <c r="M43" i="11"/>
  <c r="J44" i="11"/>
  <c r="K44" i="11"/>
  <c r="L44" i="11"/>
  <c r="M44" i="11"/>
  <c r="J45" i="11"/>
  <c r="K45" i="11"/>
  <c r="L45" i="11"/>
  <c r="M45" i="11"/>
  <c r="J46" i="11"/>
  <c r="K46" i="11"/>
  <c r="L46" i="11"/>
  <c r="M46" i="11"/>
  <c r="J47" i="11"/>
  <c r="K47" i="11"/>
  <c r="L47" i="11"/>
  <c r="M47" i="11"/>
  <c r="J48" i="11"/>
  <c r="K48" i="11"/>
  <c r="L48" i="11"/>
  <c r="M48" i="11"/>
  <c r="J49" i="11"/>
  <c r="K49" i="11"/>
  <c r="L49" i="11"/>
  <c r="M49" i="11"/>
  <c r="J50" i="11"/>
  <c r="K50" i="11"/>
  <c r="L50" i="11"/>
  <c r="M50" i="11"/>
  <c r="J51" i="11"/>
  <c r="K51" i="11"/>
  <c r="L51" i="11"/>
  <c r="M51" i="11"/>
  <c r="J52" i="11"/>
  <c r="K52" i="11"/>
  <c r="L52" i="11"/>
  <c r="M52" i="11"/>
  <c r="J53" i="11"/>
  <c r="K53" i="11"/>
  <c r="L53" i="11"/>
  <c r="M53" i="11"/>
  <c r="J54" i="11"/>
  <c r="K54" i="11"/>
  <c r="L54" i="11"/>
  <c r="M54" i="11"/>
</calcChain>
</file>

<file path=xl/comments1.xml><?xml version="1.0" encoding="utf-8"?>
<comments xmlns="http://schemas.openxmlformats.org/spreadsheetml/2006/main">
  <authors>
    <author>RPC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comments2.xml><?xml version="1.0" encoding="utf-8"?>
<comments xmlns="http://schemas.openxmlformats.org/spreadsheetml/2006/main">
  <authors>
    <author>RPC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sharedStrings.xml><?xml version="1.0" encoding="utf-8"?>
<sst xmlns="http://schemas.openxmlformats.org/spreadsheetml/2006/main" count="243" uniqueCount="76">
  <si>
    <t>(1) Carregue para obter:</t>
  </si>
  <si>
    <t>ANEXO: Tabela de dados</t>
  </si>
  <si>
    <t>Aluno Nº</t>
  </si>
  <si>
    <t>VALORES DA PROCURA (EMPRESA CAFÉ&amp;AFINS)</t>
  </si>
  <si>
    <t>ANOS</t>
  </si>
  <si>
    <t>Semana</t>
  </si>
  <si>
    <t>Média semanal</t>
  </si>
  <si>
    <t>Desvio Padrão</t>
  </si>
  <si>
    <t>(2) P.f., imprima esta folha tal como foi gerada e anexe-a ao relatório</t>
  </si>
  <si>
    <t>Bin</t>
  </si>
  <si>
    <t>Frequency</t>
  </si>
  <si>
    <t>Cumulative %</t>
  </si>
  <si>
    <t xml:space="preserve">Média semanal: </t>
  </si>
  <si>
    <t xml:space="preserve">Desvio Padrão: </t>
  </si>
  <si>
    <t xml:space="preserve">Max: </t>
  </si>
  <si>
    <t>Min:</t>
  </si>
  <si>
    <t>Época Baixa</t>
  </si>
  <si>
    <t>ano</t>
  </si>
  <si>
    <t>Época Alta</t>
  </si>
  <si>
    <t>sum:</t>
  </si>
  <si>
    <t>avg:</t>
  </si>
  <si>
    <t>stdev:</t>
  </si>
  <si>
    <t>NormDist Cum.</t>
  </si>
  <si>
    <t>NormDist Mass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</si>
  <si>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>=</t>
    </r>
  </si>
  <si>
    <t>Freq. Estim.</t>
  </si>
  <si>
    <r>
      <t>(Fo-Fe)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/Fe</t>
    </r>
  </si>
  <si>
    <t>k=6-1=5</t>
  </si>
  <si>
    <r>
      <t>R</t>
    </r>
    <r>
      <rPr>
        <b/>
        <vertAlign val="superscript"/>
        <sz val="10"/>
        <rFont val="Arial"/>
        <family val="2"/>
      </rPr>
      <t>2</t>
    </r>
  </si>
  <si>
    <t>Fo %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</si>
  <si>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(0.05, 4</t>
    </r>
    <r>
      <rPr>
        <b/>
        <sz val="10"/>
        <rFont val="Calibri"/>
        <family val="2"/>
      </rPr>
      <t>)=</t>
    </r>
  </si>
  <si>
    <t>Ep. Baixa</t>
  </si>
  <si>
    <t>u</t>
  </si>
  <si>
    <t>S</t>
  </si>
  <si>
    <t>Ep. Alta</t>
  </si>
  <si>
    <t>P. Entrega</t>
  </si>
  <si>
    <t>P(DDLT&gt;S)=</t>
  </si>
  <si>
    <t>Nivel Stock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</si>
  <si>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(0.05, 2</t>
    </r>
    <r>
      <rPr>
        <b/>
        <sz val="10"/>
        <rFont val="Calibri"/>
        <family val="2"/>
      </rPr>
      <t>)=</t>
    </r>
  </si>
  <si>
    <t>QEE=</t>
  </si>
  <si>
    <t>C1</t>
  </si>
  <si>
    <t>eur/semana</t>
  </si>
  <si>
    <t>C2</t>
  </si>
  <si>
    <t>eur</t>
  </si>
  <si>
    <t>C3</t>
  </si>
  <si>
    <t>eur/encomenda</t>
  </si>
  <si>
    <t>un.</t>
  </si>
  <si>
    <t>CT=</t>
  </si>
  <si>
    <t>SS</t>
  </si>
  <si>
    <t>nSeman=</t>
  </si>
  <si>
    <t>eur/ano</t>
  </si>
  <si>
    <t>Política Actual</t>
  </si>
  <si>
    <t>Q=</t>
  </si>
  <si>
    <t>"------------------------------------------------------------------------------------------------------------------------------------------------------------------------------------------------------------"</t>
  </si>
  <si>
    <t>DDLT - Convolução</t>
  </si>
  <si>
    <t>CT*=</t>
  </si>
  <si>
    <t>Nº quebras</t>
  </si>
  <si>
    <t>tot=</t>
  </si>
  <si>
    <t>desvio</t>
  </si>
  <si>
    <t>proc_med</t>
  </si>
  <si>
    <t>1-P(DDLT&gt;S)=</t>
  </si>
  <si>
    <t>---</t>
  </si>
  <si>
    <t>Nº semanas quebra</t>
  </si>
  <si>
    <t>Stock Atual</t>
  </si>
  <si>
    <t>Prazo Entrega</t>
  </si>
  <si>
    <t>NºEncomendas</t>
  </si>
  <si>
    <t>Procura 2015</t>
  </si>
  <si>
    <t>QEE</t>
  </si>
  <si>
    <t>media DDLT</t>
  </si>
  <si>
    <t>stdv DDLT</t>
  </si>
  <si>
    <t>num_semanas</t>
  </si>
  <si>
    <t>Total</t>
  </si>
  <si>
    <t>Custo Total</t>
  </si>
  <si>
    <t>67636</t>
  </si>
  <si>
    <t>LEI-MEIO 2014/15: Trabalho Prático Nº 2</t>
  </si>
  <si>
    <t>Dados usados na simulação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</si>
</sst>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#,##0.00\ &quot;€&quot;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u/>
      <sz val="10"/>
      <color indexed="62"/>
      <name val="Arial"/>
      <family val="2"/>
    </font>
    <font>
      <sz val="10"/>
      <color indexed="62"/>
      <name val="Arial"/>
      <family val="2"/>
    </font>
    <font>
      <b/>
      <i/>
      <u/>
      <sz val="10"/>
      <color indexed="6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u/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i/>
      <vertAlign val="superscript"/>
      <sz val="10"/>
      <name val="Arial"/>
      <family val="2"/>
    </font>
    <font>
      <b/>
      <vertAlign val="subscript"/>
      <sz val="10"/>
      <name val="Calibri"/>
      <family val="2"/>
    </font>
    <font>
      <b/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name val="Arial"/>
    </font>
    <font>
      <b/>
      <i/>
      <sz val="10"/>
      <name val="Arial"/>
      <family val="2"/>
    </font>
    <font>
      <sz val="14"/>
      <name val="Arial"/>
      <family val="2"/>
    </font>
    <font>
      <sz val="8"/>
      <name val="SFTT0800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99">
    <xf numFmtId="0" fontId="0" fillId="0" borderId="0" xfId="0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" xfId="0" applyFill="1" applyBorder="1" applyAlignment="1"/>
    <xf numFmtId="0" fontId="7" fillId="0" borderId="2" xfId="0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/>
    <xf numFmtId="0" fontId="6" fillId="0" borderId="0" xfId="0" applyFont="1"/>
    <xf numFmtId="0" fontId="0" fillId="0" borderId="0" xfId="0" applyNumberFormat="1" applyFill="1" applyBorder="1" applyAlignment="1"/>
    <xf numFmtId="0" fontId="0" fillId="2" borderId="0" xfId="0" applyFill="1"/>
    <xf numFmtId="2" fontId="9" fillId="0" borderId="0" xfId="0" applyNumberFormat="1" applyFont="1"/>
    <xf numFmtId="2" fontId="0" fillId="0" borderId="3" xfId="0" applyNumberFormat="1" applyBorder="1"/>
    <xf numFmtId="164" fontId="0" fillId="0" borderId="0" xfId="0" applyNumberFormat="1"/>
    <xf numFmtId="0" fontId="7" fillId="0" borderId="0" xfId="0" applyFont="1" applyFill="1" applyBorder="1" applyAlignment="1">
      <alignment horizontal="center"/>
    </xf>
    <xf numFmtId="0" fontId="9" fillId="0" borderId="0" xfId="0" applyNumberFormat="1" applyFont="1" applyFill="1" applyBorder="1" applyAlignment="1"/>
    <xf numFmtId="0" fontId="9" fillId="0" borderId="0" xfId="0" applyFont="1" applyFill="1" applyBorder="1" applyAlignment="1"/>
    <xf numFmtId="9" fontId="0" fillId="0" borderId="0" xfId="0" applyNumberFormat="1" applyFill="1" applyBorder="1" applyAlignment="1"/>
    <xf numFmtId="9" fontId="0" fillId="0" borderId="1" xfId="0" applyNumberFormat="1" applyFill="1" applyBorder="1" applyAlignment="1"/>
    <xf numFmtId="0" fontId="9" fillId="0" borderId="1" xfId="0" applyFont="1" applyFill="1" applyBorder="1" applyAlignment="1"/>
    <xf numFmtId="2" fontId="0" fillId="0" borderId="0" xfId="0" applyNumberFormat="1" applyFill="1" applyBorder="1" applyAlignment="1"/>
    <xf numFmtId="2" fontId="6" fillId="0" borderId="0" xfId="1" applyNumberFormat="1" applyFont="1"/>
    <xf numFmtId="2" fontId="0" fillId="0" borderId="1" xfId="0" applyNumberFormat="1" applyFill="1" applyBorder="1" applyAlignment="1"/>
    <xf numFmtId="2" fontId="6" fillId="0" borderId="1" xfId="1" applyNumberFormat="1" applyFont="1" applyBorder="1"/>
    <xf numFmtId="10" fontId="10" fillId="0" borderId="0" xfId="0" applyNumberFormat="1" applyFont="1" applyFill="1" applyBorder="1" applyAlignment="1">
      <alignment horizontal="right"/>
    </xf>
    <xf numFmtId="2" fontId="9" fillId="0" borderId="0" xfId="0" applyNumberFormat="1" applyFont="1" applyFill="1" applyBorder="1" applyAlignment="1"/>
    <xf numFmtId="10" fontId="6" fillId="0" borderId="0" xfId="0" applyNumberFormat="1" applyFont="1" applyFill="1" applyBorder="1" applyAlignment="1"/>
    <xf numFmtId="2" fontId="9" fillId="0" borderId="1" xfId="0" applyNumberFormat="1" applyFont="1" applyFill="1" applyBorder="1" applyAlignment="1"/>
    <xf numFmtId="10" fontId="9" fillId="0" borderId="0" xfId="0" applyNumberFormat="1" applyFont="1" applyFill="1" applyBorder="1" applyAlignment="1">
      <alignment horizontal="right"/>
    </xf>
    <xf numFmtId="165" fontId="0" fillId="0" borderId="1" xfId="0" applyNumberFormat="1" applyFill="1" applyBorder="1" applyAlignment="1"/>
    <xf numFmtId="0" fontId="9" fillId="0" borderId="0" xfId="0" applyFont="1"/>
    <xf numFmtId="2" fontId="0" fillId="3" borderId="0" xfId="0" applyNumberFormat="1" applyFill="1"/>
    <xf numFmtId="0" fontId="0" fillId="3" borderId="0" xfId="0" applyFill="1"/>
    <xf numFmtId="1" fontId="0" fillId="0" borderId="0" xfId="0" applyNumberFormat="1"/>
    <xf numFmtId="1" fontId="9" fillId="0" borderId="0" xfId="0" applyNumberFormat="1" applyFont="1"/>
    <xf numFmtId="0" fontId="9" fillId="0" borderId="0" xfId="0" applyFont="1" applyAlignment="1">
      <alignment horizontal="right"/>
    </xf>
    <xf numFmtId="166" fontId="9" fillId="0" borderId="0" xfId="0" applyNumberFormat="1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0" xfId="0" applyNumberFormat="1" applyFont="1" applyFill="1" applyBorder="1" applyAlignment="1"/>
    <xf numFmtId="0" fontId="0" fillId="4" borderId="0" xfId="0" applyFill="1"/>
    <xf numFmtId="0" fontId="8" fillId="0" borderId="0" xfId="0" applyFont="1" applyAlignment="1">
      <alignment horizontal="center"/>
    </xf>
    <xf numFmtId="0" fontId="17" fillId="0" borderId="0" xfId="0" applyFont="1"/>
    <xf numFmtId="2" fontId="17" fillId="0" borderId="0" xfId="0" applyNumberFormat="1" applyFont="1"/>
    <xf numFmtId="164" fontId="0" fillId="0" borderId="0" xfId="0" applyNumberFormat="1" applyFill="1" applyBorder="1" applyAlignment="1"/>
    <xf numFmtId="165" fontId="0" fillId="0" borderId="0" xfId="0" applyNumberFormat="1" applyFill="1" applyBorder="1" applyAlignment="1"/>
    <xf numFmtId="0" fontId="18" fillId="0" borderId="0" xfId="0" applyFont="1" applyAlignment="1">
      <alignment horizontal="center"/>
    </xf>
    <xf numFmtId="0" fontId="6" fillId="0" borderId="0" xfId="0" quotePrefix="1" applyFont="1"/>
    <xf numFmtId="0" fontId="8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9" fillId="4" borderId="0" xfId="0" applyFont="1" applyFill="1"/>
    <xf numFmtId="0" fontId="2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9" fillId="0" borderId="0" xfId="0" applyFont="1"/>
    <xf numFmtId="0" fontId="17" fillId="4" borderId="0" xfId="0" applyFont="1" applyFill="1"/>
    <xf numFmtId="0" fontId="0" fillId="5" borderId="0" xfId="0" applyFill="1"/>
    <xf numFmtId="0" fontId="2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3" fontId="0" fillId="0" borderId="0" xfId="0" applyNumberFormat="1"/>
    <xf numFmtId="0" fontId="20" fillId="0" borderId="0" xfId="0" applyFont="1" applyAlignment="1">
      <alignment horizontal="center"/>
    </xf>
    <xf numFmtId="2" fontId="6" fillId="0" borderId="0" xfId="0" quotePrefix="1" applyNumberFormat="1" applyFont="1"/>
    <xf numFmtId="0" fontId="9" fillId="5" borderId="0" xfId="0" applyFont="1" applyFill="1"/>
    <xf numFmtId="0" fontId="6" fillId="5" borderId="0" xfId="0" applyFont="1" applyFill="1"/>
    <xf numFmtId="0" fontId="9" fillId="5" borderId="0" xfId="0" applyFont="1" applyFill="1" applyAlignment="1">
      <alignment horizontal="right"/>
    </xf>
    <xf numFmtId="2" fontId="9" fillId="5" borderId="0" xfId="0" applyNumberFormat="1" applyFont="1" applyFill="1"/>
    <xf numFmtId="1" fontId="9" fillId="5" borderId="0" xfId="0" applyNumberFormat="1" applyFont="1" applyFill="1"/>
    <xf numFmtId="2" fontId="0" fillId="5" borderId="0" xfId="0" applyNumberFormat="1" applyFill="1"/>
    <xf numFmtId="166" fontId="9" fillId="5" borderId="0" xfId="0" applyNumberFormat="1" applyFont="1" applyFill="1"/>
    <xf numFmtId="0" fontId="8" fillId="0" borderId="0" xfId="0" applyFont="1" applyAlignment="1">
      <alignment horizontal="center"/>
    </xf>
    <xf numFmtId="0" fontId="21" fillId="4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2" fontId="0" fillId="2" borderId="0" xfId="0" applyNumberFormat="1" applyFill="1"/>
    <xf numFmtId="0" fontId="9" fillId="2" borderId="0" xfId="0" applyFont="1" applyFill="1" applyAlignment="1">
      <alignment horizontal="center"/>
    </xf>
    <xf numFmtId="2" fontId="9" fillId="2" borderId="0" xfId="0" applyNumberFormat="1" applyFont="1" applyFill="1"/>
    <xf numFmtId="0" fontId="7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center"/>
    </xf>
    <xf numFmtId="0" fontId="0" fillId="6" borderId="0" xfId="0" applyFill="1"/>
    <xf numFmtId="0" fontId="8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/>
    <xf numFmtId="2" fontId="0" fillId="6" borderId="0" xfId="0" applyNumberFormat="1" applyFill="1"/>
    <xf numFmtId="0" fontId="9" fillId="6" borderId="0" xfId="0" applyFont="1" applyFill="1" applyAlignment="1">
      <alignment horizontal="center"/>
    </xf>
    <xf numFmtId="2" fontId="9" fillId="6" borderId="0" xfId="0" applyNumberFormat="1" applyFont="1" applyFill="1"/>
    <xf numFmtId="0" fontId="7" fillId="6" borderId="0" xfId="0" applyFont="1" applyFill="1" applyAlignment="1">
      <alignment horizontal="right"/>
    </xf>
    <xf numFmtId="2" fontId="0" fillId="6" borderId="0" xfId="0" applyNumberFormat="1" applyFill="1" applyAlignment="1">
      <alignment horizontal="center"/>
    </xf>
    <xf numFmtId="0" fontId="2" fillId="4" borderId="0" xfId="0" applyFont="1" applyFill="1"/>
    <xf numFmtId="0" fontId="22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Dados!$B$7:$B$56</c:f>
              <c:numCache>
                <c:formatCode>General</c:formatCode>
                <c:ptCount val="50"/>
                <c:pt idx="0">
                  <c:v>253.0</c:v>
                </c:pt>
                <c:pt idx="1">
                  <c:v>251.0</c:v>
                </c:pt>
                <c:pt idx="2">
                  <c:v>240.0</c:v>
                </c:pt>
                <c:pt idx="3">
                  <c:v>287.0</c:v>
                </c:pt>
                <c:pt idx="4">
                  <c:v>218.0</c:v>
                </c:pt>
                <c:pt idx="5">
                  <c:v>253.0</c:v>
                </c:pt>
                <c:pt idx="6">
                  <c:v>229.0</c:v>
                </c:pt>
                <c:pt idx="7">
                  <c:v>257.0</c:v>
                </c:pt>
                <c:pt idx="8">
                  <c:v>241.0</c:v>
                </c:pt>
                <c:pt idx="9">
                  <c:v>268.0</c:v>
                </c:pt>
                <c:pt idx="10">
                  <c:v>226.0</c:v>
                </c:pt>
                <c:pt idx="11">
                  <c:v>241.0</c:v>
                </c:pt>
                <c:pt idx="12">
                  <c:v>275.0</c:v>
                </c:pt>
                <c:pt idx="13">
                  <c:v>242.0</c:v>
                </c:pt>
                <c:pt idx="14">
                  <c:v>269.0</c:v>
                </c:pt>
                <c:pt idx="15">
                  <c:v>261.0</c:v>
                </c:pt>
                <c:pt idx="16">
                  <c:v>267.0</c:v>
                </c:pt>
                <c:pt idx="17">
                  <c:v>227.0</c:v>
                </c:pt>
                <c:pt idx="18">
                  <c:v>225.0</c:v>
                </c:pt>
                <c:pt idx="19">
                  <c:v>221.0</c:v>
                </c:pt>
                <c:pt idx="20">
                  <c:v>256.0</c:v>
                </c:pt>
                <c:pt idx="21">
                  <c:v>217.0</c:v>
                </c:pt>
                <c:pt idx="22">
                  <c:v>229.0</c:v>
                </c:pt>
                <c:pt idx="23">
                  <c:v>222.0</c:v>
                </c:pt>
                <c:pt idx="24">
                  <c:v>433.0</c:v>
                </c:pt>
                <c:pt idx="25">
                  <c:v>410.0</c:v>
                </c:pt>
                <c:pt idx="26">
                  <c:v>407.0</c:v>
                </c:pt>
                <c:pt idx="27">
                  <c:v>418.0</c:v>
                </c:pt>
                <c:pt idx="28">
                  <c:v>429.0</c:v>
                </c:pt>
                <c:pt idx="29">
                  <c:v>423.0</c:v>
                </c:pt>
                <c:pt idx="30">
                  <c:v>464.0</c:v>
                </c:pt>
                <c:pt idx="31">
                  <c:v>415.0</c:v>
                </c:pt>
                <c:pt idx="32">
                  <c:v>397.0</c:v>
                </c:pt>
                <c:pt idx="33">
                  <c:v>448.0</c:v>
                </c:pt>
                <c:pt idx="34">
                  <c:v>413.0</c:v>
                </c:pt>
                <c:pt idx="35">
                  <c:v>424.0</c:v>
                </c:pt>
                <c:pt idx="36">
                  <c:v>464.0</c:v>
                </c:pt>
                <c:pt idx="37">
                  <c:v>422.0</c:v>
                </c:pt>
                <c:pt idx="38">
                  <c:v>412.0</c:v>
                </c:pt>
                <c:pt idx="39">
                  <c:v>408.0</c:v>
                </c:pt>
                <c:pt idx="40">
                  <c:v>428.0</c:v>
                </c:pt>
                <c:pt idx="41">
                  <c:v>409.0</c:v>
                </c:pt>
                <c:pt idx="42">
                  <c:v>417.0</c:v>
                </c:pt>
                <c:pt idx="43">
                  <c:v>410.0</c:v>
                </c:pt>
                <c:pt idx="44">
                  <c:v>439.0</c:v>
                </c:pt>
                <c:pt idx="45">
                  <c:v>401.0</c:v>
                </c:pt>
                <c:pt idx="46">
                  <c:v>243.0</c:v>
                </c:pt>
                <c:pt idx="47">
                  <c:v>298.0</c:v>
                </c:pt>
                <c:pt idx="48">
                  <c:v>288.0</c:v>
                </c:pt>
                <c:pt idx="49">
                  <c:v>260.0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Dados!$C$7:$C$56</c:f>
              <c:numCache>
                <c:formatCode>General</c:formatCode>
                <c:ptCount val="50"/>
                <c:pt idx="0">
                  <c:v>281.0</c:v>
                </c:pt>
                <c:pt idx="1">
                  <c:v>286.0</c:v>
                </c:pt>
                <c:pt idx="2">
                  <c:v>295.0</c:v>
                </c:pt>
                <c:pt idx="3">
                  <c:v>294.0</c:v>
                </c:pt>
                <c:pt idx="4">
                  <c:v>273.0</c:v>
                </c:pt>
                <c:pt idx="5">
                  <c:v>264.0</c:v>
                </c:pt>
                <c:pt idx="6">
                  <c:v>302.0</c:v>
                </c:pt>
                <c:pt idx="7">
                  <c:v>277.0</c:v>
                </c:pt>
                <c:pt idx="8">
                  <c:v>303.0</c:v>
                </c:pt>
                <c:pt idx="9">
                  <c:v>296.0</c:v>
                </c:pt>
                <c:pt idx="10">
                  <c:v>296.0</c:v>
                </c:pt>
                <c:pt idx="11">
                  <c:v>278.0</c:v>
                </c:pt>
                <c:pt idx="12">
                  <c:v>282.0</c:v>
                </c:pt>
                <c:pt idx="13">
                  <c:v>274.0</c:v>
                </c:pt>
                <c:pt idx="14">
                  <c:v>295.0</c:v>
                </c:pt>
                <c:pt idx="15">
                  <c:v>312.0</c:v>
                </c:pt>
                <c:pt idx="16">
                  <c:v>297.0</c:v>
                </c:pt>
                <c:pt idx="17">
                  <c:v>272.0</c:v>
                </c:pt>
                <c:pt idx="18">
                  <c:v>279.0</c:v>
                </c:pt>
                <c:pt idx="19">
                  <c:v>283.0</c:v>
                </c:pt>
                <c:pt idx="20">
                  <c:v>287.0</c:v>
                </c:pt>
                <c:pt idx="21">
                  <c:v>282.0</c:v>
                </c:pt>
                <c:pt idx="22">
                  <c:v>275.0</c:v>
                </c:pt>
                <c:pt idx="23">
                  <c:v>298.0</c:v>
                </c:pt>
                <c:pt idx="24">
                  <c:v>479.0</c:v>
                </c:pt>
                <c:pt idx="25">
                  <c:v>487.0</c:v>
                </c:pt>
                <c:pt idx="26">
                  <c:v>477.0</c:v>
                </c:pt>
                <c:pt idx="27">
                  <c:v>485.0</c:v>
                </c:pt>
                <c:pt idx="28">
                  <c:v>489.0</c:v>
                </c:pt>
                <c:pt idx="29">
                  <c:v>501.0</c:v>
                </c:pt>
                <c:pt idx="30">
                  <c:v>493.0</c:v>
                </c:pt>
                <c:pt idx="31">
                  <c:v>514.0</c:v>
                </c:pt>
                <c:pt idx="32">
                  <c:v>478.0</c:v>
                </c:pt>
                <c:pt idx="33">
                  <c:v>500.0</c:v>
                </c:pt>
                <c:pt idx="34">
                  <c:v>494.0</c:v>
                </c:pt>
                <c:pt idx="35">
                  <c:v>461.0</c:v>
                </c:pt>
                <c:pt idx="36">
                  <c:v>475.0</c:v>
                </c:pt>
                <c:pt idx="37">
                  <c:v>490.0</c:v>
                </c:pt>
                <c:pt idx="38">
                  <c:v>524.0</c:v>
                </c:pt>
                <c:pt idx="39">
                  <c:v>463.0</c:v>
                </c:pt>
                <c:pt idx="40">
                  <c:v>500.0</c:v>
                </c:pt>
                <c:pt idx="41">
                  <c:v>477.0</c:v>
                </c:pt>
                <c:pt idx="42">
                  <c:v>487.0</c:v>
                </c:pt>
                <c:pt idx="43">
                  <c:v>496.0</c:v>
                </c:pt>
                <c:pt idx="44">
                  <c:v>487.0</c:v>
                </c:pt>
                <c:pt idx="45">
                  <c:v>454.0</c:v>
                </c:pt>
                <c:pt idx="46">
                  <c:v>302.0</c:v>
                </c:pt>
                <c:pt idx="47">
                  <c:v>308.0</c:v>
                </c:pt>
                <c:pt idx="48">
                  <c:v>297.0</c:v>
                </c:pt>
                <c:pt idx="49">
                  <c:v>288.0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Dados!$D$7:$D$56</c:f>
              <c:numCache>
                <c:formatCode>General</c:formatCode>
                <c:ptCount val="50"/>
                <c:pt idx="0">
                  <c:v>323.0</c:v>
                </c:pt>
                <c:pt idx="1">
                  <c:v>346.0</c:v>
                </c:pt>
                <c:pt idx="2">
                  <c:v>307.0</c:v>
                </c:pt>
                <c:pt idx="3">
                  <c:v>346.0</c:v>
                </c:pt>
                <c:pt idx="4">
                  <c:v>313.0</c:v>
                </c:pt>
                <c:pt idx="5">
                  <c:v>346.0</c:v>
                </c:pt>
                <c:pt idx="6">
                  <c:v>381.0</c:v>
                </c:pt>
                <c:pt idx="7">
                  <c:v>319.0</c:v>
                </c:pt>
                <c:pt idx="8">
                  <c:v>294.0</c:v>
                </c:pt>
                <c:pt idx="9">
                  <c:v>344.0</c:v>
                </c:pt>
                <c:pt idx="10">
                  <c:v>347.0</c:v>
                </c:pt>
                <c:pt idx="11">
                  <c:v>319.0</c:v>
                </c:pt>
                <c:pt idx="12">
                  <c:v>359.0</c:v>
                </c:pt>
                <c:pt idx="13">
                  <c:v>346.0</c:v>
                </c:pt>
                <c:pt idx="14">
                  <c:v>333.0</c:v>
                </c:pt>
                <c:pt idx="15">
                  <c:v>339.0</c:v>
                </c:pt>
                <c:pt idx="16">
                  <c:v>322.0</c:v>
                </c:pt>
                <c:pt idx="17">
                  <c:v>370.0</c:v>
                </c:pt>
                <c:pt idx="18">
                  <c:v>346.0</c:v>
                </c:pt>
                <c:pt idx="19">
                  <c:v>330.0</c:v>
                </c:pt>
                <c:pt idx="20">
                  <c:v>335.0</c:v>
                </c:pt>
                <c:pt idx="21">
                  <c:v>341.0</c:v>
                </c:pt>
                <c:pt idx="22">
                  <c:v>336.0</c:v>
                </c:pt>
                <c:pt idx="23">
                  <c:v>324.0</c:v>
                </c:pt>
                <c:pt idx="24">
                  <c:v>568.0</c:v>
                </c:pt>
                <c:pt idx="25">
                  <c:v>576.0</c:v>
                </c:pt>
                <c:pt idx="26">
                  <c:v>585.0</c:v>
                </c:pt>
                <c:pt idx="27">
                  <c:v>557.0</c:v>
                </c:pt>
                <c:pt idx="28">
                  <c:v>589.0</c:v>
                </c:pt>
                <c:pt idx="29">
                  <c:v>573.0</c:v>
                </c:pt>
                <c:pt idx="30">
                  <c:v>603.0</c:v>
                </c:pt>
                <c:pt idx="31">
                  <c:v>565.0</c:v>
                </c:pt>
                <c:pt idx="32">
                  <c:v>556.0</c:v>
                </c:pt>
                <c:pt idx="33">
                  <c:v>579.0</c:v>
                </c:pt>
                <c:pt idx="34">
                  <c:v>552.0</c:v>
                </c:pt>
                <c:pt idx="35">
                  <c:v>582.0</c:v>
                </c:pt>
                <c:pt idx="36">
                  <c:v>544.0</c:v>
                </c:pt>
                <c:pt idx="37">
                  <c:v>595.0</c:v>
                </c:pt>
                <c:pt idx="38">
                  <c:v>558.0</c:v>
                </c:pt>
                <c:pt idx="39">
                  <c:v>561.0</c:v>
                </c:pt>
                <c:pt idx="40">
                  <c:v>590.0</c:v>
                </c:pt>
                <c:pt idx="41">
                  <c:v>541.0</c:v>
                </c:pt>
                <c:pt idx="42">
                  <c:v>592.0</c:v>
                </c:pt>
                <c:pt idx="43">
                  <c:v>582.0</c:v>
                </c:pt>
                <c:pt idx="44">
                  <c:v>560.0</c:v>
                </c:pt>
                <c:pt idx="45">
                  <c:v>590.0</c:v>
                </c:pt>
                <c:pt idx="46">
                  <c:v>329.0</c:v>
                </c:pt>
                <c:pt idx="47">
                  <c:v>368.0</c:v>
                </c:pt>
                <c:pt idx="48">
                  <c:v>373.0</c:v>
                </c:pt>
                <c:pt idx="49">
                  <c:v>344.0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2595456"/>
        <c:axId val="2140487712"/>
      </c:lineChart>
      <c:catAx>
        <c:axId val="2062595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0487712"/>
        <c:crosses val="autoZero"/>
        <c:auto val="1"/>
        <c:lblAlgn val="ctr"/>
        <c:lblOffset val="100"/>
        <c:noMultiLvlLbl val="0"/>
      </c:catAx>
      <c:valAx>
        <c:axId val="214048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259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</a:t>
            </a:r>
            <a:r>
              <a:rPr lang="pt-PT" baseline="0"/>
              <a:t>rocura semanal</a:t>
            </a:r>
            <a:endParaRPr lang="pt-PT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TP2'!$B$6</c:f>
              <c:strCache>
                <c:ptCount val="1"/>
                <c:pt idx="0">
                  <c:v>2012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x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val>
            <c:numRef>
              <c:f>'Dados TP2'!$B$7:$B$56</c:f>
              <c:numCache>
                <c:formatCode>General</c:formatCode>
                <c:ptCount val="50"/>
                <c:pt idx="0">
                  <c:v>253.0</c:v>
                </c:pt>
                <c:pt idx="1">
                  <c:v>251.0</c:v>
                </c:pt>
                <c:pt idx="2">
                  <c:v>240.0</c:v>
                </c:pt>
                <c:pt idx="3">
                  <c:v>287.0</c:v>
                </c:pt>
                <c:pt idx="4">
                  <c:v>218.0</c:v>
                </c:pt>
                <c:pt idx="5">
                  <c:v>253.0</c:v>
                </c:pt>
                <c:pt idx="6">
                  <c:v>229.0</c:v>
                </c:pt>
                <c:pt idx="7">
                  <c:v>257.0</c:v>
                </c:pt>
                <c:pt idx="8">
                  <c:v>241.0</c:v>
                </c:pt>
                <c:pt idx="9">
                  <c:v>268.0</c:v>
                </c:pt>
                <c:pt idx="10">
                  <c:v>226.0</c:v>
                </c:pt>
                <c:pt idx="11">
                  <c:v>241.0</c:v>
                </c:pt>
                <c:pt idx="12">
                  <c:v>275.0</c:v>
                </c:pt>
                <c:pt idx="13">
                  <c:v>242.0</c:v>
                </c:pt>
                <c:pt idx="14">
                  <c:v>269.0</c:v>
                </c:pt>
                <c:pt idx="15">
                  <c:v>261.0</c:v>
                </c:pt>
                <c:pt idx="16">
                  <c:v>267.0</c:v>
                </c:pt>
                <c:pt idx="17">
                  <c:v>227.0</c:v>
                </c:pt>
                <c:pt idx="18">
                  <c:v>225.0</c:v>
                </c:pt>
                <c:pt idx="19">
                  <c:v>221.0</c:v>
                </c:pt>
                <c:pt idx="20">
                  <c:v>256.0</c:v>
                </c:pt>
                <c:pt idx="21">
                  <c:v>217.0</c:v>
                </c:pt>
                <c:pt idx="22">
                  <c:v>229.0</c:v>
                </c:pt>
                <c:pt idx="23">
                  <c:v>222.0</c:v>
                </c:pt>
                <c:pt idx="24">
                  <c:v>433.0</c:v>
                </c:pt>
                <c:pt idx="25">
                  <c:v>410.0</c:v>
                </c:pt>
                <c:pt idx="26">
                  <c:v>407.0</c:v>
                </c:pt>
                <c:pt idx="27">
                  <c:v>418.0</c:v>
                </c:pt>
                <c:pt idx="28">
                  <c:v>429.0</c:v>
                </c:pt>
                <c:pt idx="29">
                  <c:v>423.0</c:v>
                </c:pt>
                <c:pt idx="30">
                  <c:v>464.0</c:v>
                </c:pt>
                <c:pt idx="31">
                  <c:v>415.0</c:v>
                </c:pt>
                <c:pt idx="32">
                  <c:v>397.0</c:v>
                </c:pt>
                <c:pt idx="33">
                  <c:v>448.0</c:v>
                </c:pt>
                <c:pt idx="34">
                  <c:v>413.0</c:v>
                </c:pt>
                <c:pt idx="35">
                  <c:v>424.0</c:v>
                </c:pt>
                <c:pt idx="36">
                  <c:v>464.0</c:v>
                </c:pt>
                <c:pt idx="37">
                  <c:v>422.0</c:v>
                </c:pt>
                <c:pt idx="38">
                  <c:v>412.0</c:v>
                </c:pt>
                <c:pt idx="39">
                  <c:v>408.0</c:v>
                </c:pt>
                <c:pt idx="40">
                  <c:v>428.0</c:v>
                </c:pt>
                <c:pt idx="41">
                  <c:v>409.0</c:v>
                </c:pt>
                <c:pt idx="42">
                  <c:v>417.0</c:v>
                </c:pt>
                <c:pt idx="43">
                  <c:v>410.0</c:v>
                </c:pt>
                <c:pt idx="44">
                  <c:v>439.0</c:v>
                </c:pt>
                <c:pt idx="45">
                  <c:v>401.0</c:v>
                </c:pt>
                <c:pt idx="46">
                  <c:v>243.0</c:v>
                </c:pt>
                <c:pt idx="47">
                  <c:v>298.0</c:v>
                </c:pt>
                <c:pt idx="48">
                  <c:v>288.0</c:v>
                </c:pt>
                <c:pt idx="49">
                  <c:v>260.0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TP2'!$C$6</c:f>
              <c:strCache>
                <c:ptCount val="1"/>
                <c:pt idx="0">
                  <c:v>2013</c:v>
                </c:pt>
              </c:strCache>
            </c:strRef>
          </c:tx>
          <c:spPr>
            <a:ln w="2222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val>
            <c:numRef>
              <c:f>'Dados TP2'!$C$7:$C$56</c:f>
              <c:numCache>
                <c:formatCode>General</c:formatCode>
                <c:ptCount val="50"/>
                <c:pt idx="0">
                  <c:v>281.0</c:v>
                </c:pt>
                <c:pt idx="1">
                  <c:v>286.0</c:v>
                </c:pt>
                <c:pt idx="2">
                  <c:v>295.0</c:v>
                </c:pt>
                <c:pt idx="3">
                  <c:v>294.0</c:v>
                </c:pt>
                <c:pt idx="4">
                  <c:v>273.0</c:v>
                </c:pt>
                <c:pt idx="5">
                  <c:v>264.0</c:v>
                </c:pt>
                <c:pt idx="6">
                  <c:v>302.0</c:v>
                </c:pt>
                <c:pt idx="7">
                  <c:v>277.0</c:v>
                </c:pt>
                <c:pt idx="8">
                  <c:v>303.0</c:v>
                </c:pt>
                <c:pt idx="9">
                  <c:v>296.0</c:v>
                </c:pt>
                <c:pt idx="10">
                  <c:v>296.0</c:v>
                </c:pt>
                <c:pt idx="11">
                  <c:v>278.0</c:v>
                </c:pt>
                <c:pt idx="12">
                  <c:v>282.0</c:v>
                </c:pt>
                <c:pt idx="13">
                  <c:v>274.0</c:v>
                </c:pt>
                <c:pt idx="14">
                  <c:v>295.0</c:v>
                </c:pt>
                <c:pt idx="15">
                  <c:v>312.0</c:v>
                </c:pt>
                <c:pt idx="16">
                  <c:v>297.0</c:v>
                </c:pt>
                <c:pt idx="17">
                  <c:v>272.0</c:v>
                </c:pt>
                <c:pt idx="18">
                  <c:v>279.0</c:v>
                </c:pt>
                <c:pt idx="19">
                  <c:v>283.0</c:v>
                </c:pt>
                <c:pt idx="20">
                  <c:v>287.0</c:v>
                </c:pt>
                <c:pt idx="21">
                  <c:v>282.0</c:v>
                </c:pt>
                <c:pt idx="22">
                  <c:v>275.0</c:v>
                </c:pt>
                <c:pt idx="23">
                  <c:v>298.0</c:v>
                </c:pt>
                <c:pt idx="24">
                  <c:v>479.0</c:v>
                </c:pt>
                <c:pt idx="25">
                  <c:v>487.0</c:v>
                </c:pt>
                <c:pt idx="26">
                  <c:v>477.0</c:v>
                </c:pt>
                <c:pt idx="27">
                  <c:v>485.0</c:v>
                </c:pt>
                <c:pt idx="28">
                  <c:v>489.0</c:v>
                </c:pt>
                <c:pt idx="29">
                  <c:v>501.0</c:v>
                </c:pt>
                <c:pt idx="30">
                  <c:v>493.0</c:v>
                </c:pt>
                <c:pt idx="31">
                  <c:v>514.0</c:v>
                </c:pt>
                <c:pt idx="32">
                  <c:v>478.0</c:v>
                </c:pt>
                <c:pt idx="33">
                  <c:v>500.0</c:v>
                </c:pt>
                <c:pt idx="34">
                  <c:v>494.0</c:v>
                </c:pt>
                <c:pt idx="35">
                  <c:v>461.0</c:v>
                </c:pt>
                <c:pt idx="36">
                  <c:v>475.0</c:v>
                </c:pt>
                <c:pt idx="37">
                  <c:v>490.0</c:v>
                </c:pt>
                <c:pt idx="38">
                  <c:v>524.0</c:v>
                </c:pt>
                <c:pt idx="39">
                  <c:v>463.0</c:v>
                </c:pt>
                <c:pt idx="40">
                  <c:v>500.0</c:v>
                </c:pt>
                <c:pt idx="41">
                  <c:v>477.0</c:v>
                </c:pt>
                <c:pt idx="42">
                  <c:v>487.0</c:v>
                </c:pt>
                <c:pt idx="43">
                  <c:v>496.0</c:v>
                </c:pt>
                <c:pt idx="44">
                  <c:v>487.0</c:v>
                </c:pt>
                <c:pt idx="45">
                  <c:v>454.0</c:v>
                </c:pt>
                <c:pt idx="46">
                  <c:v>302.0</c:v>
                </c:pt>
                <c:pt idx="47">
                  <c:v>308.0</c:v>
                </c:pt>
                <c:pt idx="48">
                  <c:v>297.0</c:v>
                </c:pt>
                <c:pt idx="49">
                  <c:v>288.0</c:v>
                </c:pt>
              </c:numCache>
            </c:numRef>
          </c:val>
          <c:smooth val="0"/>
        </c:ser>
        <c:ser>
          <c:idx val="2"/>
          <c:order val="2"/>
          <c:tx>
            <c:v>2014</c:v>
          </c:tx>
          <c:spPr>
            <a:ln w="22225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'Dados TP2'!$D$7:$D$56</c:f>
              <c:numCache>
                <c:formatCode>General</c:formatCode>
                <c:ptCount val="50"/>
                <c:pt idx="0">
                  <c:v>323.0</c:v>
                </c:pt>
                <c:pt idx="1">
                  <c:v>346.0</c:v>
                </c:pt>
                <c:pt idx="2">
                  <c:v>307.0</c:v>
                </c:pt>
                <c:pt idx="3">
                  <c:v>346.0</c:v>
                </c:pt>
                <c:pt idx="4">
                  <c:v>313.0</c:v>
                </c:pt>
                <c:pt idx="5">
                  <c:v>346.0</c:v>
                </c:pt>
                <c:pt idx="6">
                  <c:v>381.0</c:v>
                </c:pt>
                <c:pt idx="7">
                  <c:v>319.0</c:v>
                </c:pt>
                <c:pt idx="8">
                  <c:v>294.0</c:v>
                </c:pt>
                <c:pt idx="9">
                  <c:v>344.0</c:v>
                </c:pt>
                <c:pt idx="10">
                  <c:v>347.0</c:v>
                </c:pt>
                <c:pt idx="11">
                  <c:v>319.0</c:v>
                </c:pt>
                <c:pt idx="12">
                  <c:v>359.0</c:v>
                </c:pt>
                <c:pt idx="13">
                  <c:v>346.0</c:v>
                </c:pt>
                <c:pt idx="14">
                  <c:v>333.0</c:v>
                </c:pt>
                <c:pt idx="15">
                  <c:v>339.0</c:v>
                </c:pt>
                <c:pt idx="16">
                  <c:v>322.0</c:v>
                </c:pt>
                <c:pt idx="17">
                  <c:v>370.0</c:v>
                </c:pt>
                <c:pt idx="18">
                  <c:v>346.0</c:v>
                </c:pt>
                <c:pt idx="19">
                  <c:v>330.0</c:v>
                </c:pt>
                <c:pt idx="20">
                  <c:v>335.0</c:v>
                </c:pt>
                <c:pt idx="21">
                  <c:v>341.0</c:v>
                </c:pt>
                <c:pt idx="22">
                  <c:v>336.0</c:v>
                </c:pt>
                <c:pt idx="23">
                  <c:v>324.0</c:v>
                </c:pt>
                <c:pt idx="24">
                  <c:v>568.0</c:v>
                </c:pt>
                <c:pt idx="25">
                  <c:v>576.0</c:v>
                </c:pt>
                <c:pt idx="26">
                  <c:v>585.0</c:v>
                </c:pt>
                <c:pt idx="27">
                  <c:v>557.0</c:v>
                </c:pt>
                <c:pt idx="28">
                  <c:v>589.0</c:v>
                </c:pt>
                <c:pt idx="29">
                  <c:v>573.0</c:v>
                </c:pt>
                <c:pt idx="30">
                  <c:v>603.0</c:v>
                </c:pt>
                <c:pt idx="31">
                  <c:v>565.0</c:v>
                </c:pt>
                <c:pt idx="32">
                  <c:v>556.0</c:v>
                </c:pt>
                <c:pt idx="33">
                  <c:v>579.0</c:v>
                </c:pt>
                <c:pt idx="34">
                  <c:v>552.0</c:v>
                </c:pt>
                <c:pt idx="35">
                  <c:v>582.0</c:v>
                </c:pt>
                <c:pt idx="36">
                  <c:v>544.0</c:v>
                </c:pt>
                <c:pt idx="37">
                  <c:v>595.0</c:v>
                </c:pt>
                <c:pt idx="38">
                  <c:v>558.0</c:v>
                </c:pt>
                <c:pt idx="39">
                  <c:v>561.0</c:v>
                </c:pt>
                <c:pt idx="40">
                  <c:v>590.0</c:v>
                </c:pt>
                <c:pt idx="41">
                  <c:v>541.0</c:v>
                </c:pt>
                <c:pt idx="42">
                  <c:v>592.0</c:v>
                </c:pt>
                <c:pt idx="43">
                  <c:v>582.0</c:v>
                </c:pt>
                <c:pt idx="44">
                  <c:v>560.0</c:v>
                </c:pt>
                <c:pt idx="45">
                  <c:v>590.0</c:v>
                </c:pt>
                <c:pt idx="46">
                  <c:v>329.0</c:v>
                </c:pt>
                <c:pt idx="47">
                  <c:v>368.0</c:v>
                </c:pt>
                <c:pt idx="48">
                  <c:v>373.0</c:v>
                </c:pt>
                <c:pt idx="49">
                  <c:v>344.0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4276048"/>
        <c:axId val="2139742656"/>
      </c:lineChart>
      <c:catAx>
        <c:axId val="-208427604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39742656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2139742656"/>
        <c:scaling>
          <c:orientation val="minMax"/>
          <c:min val="150.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-20842760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4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prazo_entrega!$A$2:$A$7</c:f>
              <c:numCache>
                <c:formatCode>General</c:formatCode>
                <c:ptCount val="6"/>
                <c:pt idx="0">
                  <c:v>2.0</c:v>
                </c:pt>
                <c:pt idx="1">
                  <c:v>3.0</c:v>
                </c:pt>
                <c:pt idx="2">
                  <c:v>4.0</c:v>
                </c:pt>
                <c:pt idx="3">
                  <c:v>5.0</c:v>
                </c:pt>
                <c:pt idx="4">
                  <c:v>6.0</c:v>
                </c:pt>
              </c:numCache>
            </c:numRef>
          </c:cat>
          <c:val>
            <c:numRef>
              <c:f>prazo_entrega!$B$2:$B$6</c:f>
              <c:numCache>
                <c:formatCode>General</c:formatCode>
                <c:ptCount val="5"/>
                <c:pt idx="0">
                  <c:v>1.0</c:v>
                </c:pt>
                <c:pt idx="1">
                  <c:v>4.0</c:v>
                </c:pt>
                <c:pt idx="2">
                  <c:v>17.0</c:v>
                </c:pt>
                <c:pt idx="3">
                  <c:v>2.0</c:v>
                </c:pt>
                <c:pt idx="4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40716048"/>
        <c:axId val="2140721056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prazo_entrega!$A$2:$A$6</c:f>
              <c:numCache>
                <c:formatCode>General</c:formatCode>
                <c:ptCount val="5"/>
                <c:pt idx="0">
                  <c:v>2.0</c:v>
                </c:pt>
                <c:pt idx="1">
                  <c:v>3.0</c:v>
                </c:pt>
                <c:pt idx="2">
                  <c:v>4.0</c:v>
                </c:pt>
                <c:pt idx="3">
                  <c:v>5.0</c:v>
                </c:pt>
                <c:pt idx="4">
                  <c:v>6.0</c:v>
                </c:pt>
              </c:numCache>
            </c:numRef>
          </c:cat>
          <c:val>
            <c:numRef>
              <c:f>prazo_entrega!$G$2:$G$6</c:f>
              <c:numCache>
                <c:formatCode>0.00</c:formatCode>
                <c:ptCount val="5"/>
                <c:pt idx="0">
                  <c:v>0.582391934358025</c:v>
                </c:pt>
                <c:pt idx="1">
                  <c:v>5.998581510819813</c:v>
                </c:pt>
                <c:pt idx="2">
                  <c:v>12.57229017994874</c:v>
                </c:pt>
                <c:pt idx="3">
                  <c:v>5.361827615124034</c:v>
                </c:pt>
                <c:pt idx="4">
                  <c:v>0.465311640092861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716048"/>
        <c:axId val="2140721056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prazo_entrega!$A$2:$A$7</c:f>
              <c:numCache>
                <c:formatCode>General</c:formatCode>
                <c:ptCount val="6"/>
                <c:pt idx="0">
                  <c:v>2.0</c:v>
                </c:pt>
                <c:pt idx="1">
                  <c:v>3.0</c:v>
                </c:pt>
                <c:pt idx="2">
                  <c:v>4.0</c:v>
                </c:pt>
                <c:pt idx="3">
                  <c:v>5.0</c:v>
                </c:pt>
                <c:pt idx="4">
                  <c:v>6.0</c:v>
                </c:pt>
              </c:numCache>
            </c:numRef>
          </c:cat>
          <c:val>
            <c:numRef>
              <c:f>prazo_entrega!$D$2:$D$6</c:f>
              <c:numCache>
                <c:formatCode>0%</c:formatCode>
                <c:ptCount val="5"/>
                <c:pt idx="0">
                  <c:v>0.04</c:v>
                </c:pt>
                <c:pt idx="1">
                  <c:v>0.2</c:v>
                </c:pt>
                <c:pt idx="2">
                  <c:v>0.88</c:v>
                </c:pt>
                <c:pt idx="3">
                  <c:v>0.96</c:v>
                </c:pt>
                <c:pt idx="4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728912"/>
        <c:axId val="2140726048"/>
      </c:lineChart>
      <c:catAx>
        <c:axId val="2140716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0721056"/>
        <c:crosses val="autoZero"/>
        <c:auto val="1"/>
        <c:lblAlgn val="ctr"/>
        <c:lblOffset val="100"/>
        <c:noMultiLvlLbl val="0"/>
      </c:catAx>
      <c:valAx>
        <c:axId val="2140721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0716048"/>
        <c:crosses val="autoZero"/>
        <c:crossBetween val="between"/>
      </c:valAx>
      <c:valAx>
        <c:axId val="2140726048"/>
        <c:scaling>
          <c:orientation val="minMax"/>
          <c:max val="1.0"/>
        </c:scaling>
        <c:delete val="0"/>
        <c:axPos val="r"/>
        <c:numFmt formatCode="0%" sourceLinked="1"/>
        <c:majorTickMark val="out"/>
        <c:minorTickMark val="none"/>
        <c:tickLblPos val="nextTo"/>
        <c:crossAx val="2140728912"/>
        <c:crosses val="max"/>
        <c:crossBetween val="between"/>
      </c:valAx>
      <c:catAx>
        <c:axId val="2140728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14072604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800" b="1" i="0" baseline="0"/>
              <a:t>Prazo de entrega</a:t>
            </a:r>
            <a:endParaRPr lang="pt-PT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5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prazo_entrega!$A$21:$A$23</c:f>
              <c:numCache>
                <c:formatCode>General</c:formatCode>
                <c:ptCount val="3"/>
                <c:pt idx="0">
                  <c:v>3.0</c:v>
                </c:pt>
                <c:pt idx="1">
                  <c:v>4.0</c:v>
                </c:pt>
                <c:pt idx="2">
                  <c:v>5.0</c:v>
                </c:pt>
              </c:numCache>
            </c:numRef>
          </c:cat>
          <c:val>
            <c:numRef>
              <c:f>prazo_entrega!$B$21:$B$23</c:f>
              <c:numCache>
                <c:formatCode>General</c:formatCode>
                <c:ptCount val="3"/>
                <c:pt idx="0">
                  <c:v>4.0</c:v>
                </c:pt>
                <c:pt idx="1">
                  <c:v>17.0</c:v>
                </c:pt>
                <c:pt idx="2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44233296"/>
        <c:axId val="2142267360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3.0</c:v>
                </c:pt>
                <c:pt idx="1">
                  <c:v>4.0</c:v>
                </c:pt>
                <c:pt idx="2">
                  <c:v>5.0</c:v>
                </c:pt>
              </c:numCache>
            </c:numRef>
          </c:cat>
          <c:val>
            <c:numRef>
              <c:f>prazo_entrega!$G$21:$G$23</c:f>
              <c:numCache>
                <c:formatCode>0.00</c:formatCode>
                <c:ptCount val="3"/>
                <c:pt idx="0">
                  <c:v>4.023236658008845</c:v>
                </c:pt>
                <c:pt idx="1">
                  <c:v>17.08592493473051</c:v>
                </c:pt>
                <c:pt idx="2">
                  <c:v>2.011564381769517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4233296"/>
        <c:axId val="2142267360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3.0</c:v>
                </c:pt>
                <c:pt idx="1">
                  <c:v>4.0</c:v>
                </c:pt>
                <c:pt idx="2">
                  <c:v>5.0</c:v>
                </c:pt>
              </c:numCache>
            </c:numRef>
          </c:cat>
          <c:val>
            <c:numRef>
              <c:f>prazo_entrega!$D$21:$D$23</c:f>
              <c:numCache>
                <c:formatCode>0%</c:formatCode>
                <c:ptCount val="3"/>
                <c:pt idx="0">
                  <c:v>0.173913043478261</c:v>
                </c:pt>
                <c:pt idx="1">
                  <c:v>0.913043478260869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123344"/>
        <c:axId val="-2096674976"/>
      </c:lineChart>
      <c:catAx>
        <c:axId val="-2144233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2267360"/>
        <c:crosses val="autoZero"/>
        <c:auto val="1"/>
        <c:lblAlgn val="ctr"/>
        <c:lblOffset val="100"/>
        <c:noMultiLvlLbl val="0"/>
      </c:catAx>
      <c:valAx>
        <c:axId val="2142267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4233296"/>
        <c:crosses val="autoZero"/>
        <c:crossBetween val="between"/>
      </c:valAx>
      <c:valAx>
        <c:axId val="-2096674976"/>
        <c:scaling>
          <c:orientation val="minMax"/>
          <c:max val="1.0"/>
        </c:scaling>
        <c:delete val="0"/>
        <c:axPos val="r"/>
        <c:numFmt formatCode="0%" sourceLinked="1"/>
        <c:majorTickMark val="out"/>
        <c:minorTickMark val="none"/>
        <c:tickLblPos val="nextTo"/>
        <c:crossAx val="2062123344"/>
        <c:crosses val="max"/>
        <c:crossBetween val="between"/>
      </c:valAx>
      <c:catAx>
        <c:axId val="206212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2096674976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fe1: N (3.90, 0.53^2 )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0.0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1.0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3.0</c:v>
                </c:pt>
                <c:pt idx="16">
                  <c:v>3.200000000000001</c:v>
                </c:pt>
                <c:pt idx="17">
                  <c:v>3.400000000000001</c:v>
                </c:pt>
                <c:pt idx="18">
                  <c:v>3.600000000000001</c:v>
                </c:pt>
                <c:pt idx="19">
                  <c:v>3.800000000000001</c:v>
                </c:pt>
                <c:pt idx="20">
                  <c:v>4.000000000000001</c:v>
                </c:pt>
                <c:pt idx="21">
                  <c:v>4.200000000000001</c:v>
                </c:pt>
                <c:pt idx="22">
                  <c:v>4.400000000000001</c:v>
                </c:pt>
                <c:pt idx="23">
                  <c:v>4.600000000000001</c:v>
                </c:pt>
                <c:pt idx="24">
                  <c:v>4.800000000000002</c:v>
                </c:pt>
                <c:pt idx="25">
                  <c:v>5.000000000000002</c:v>
                </c:pt>
                <c:pt idx="26">
                  <c:v>5.200000000000002</c:v>
                </c:pt>
                <c:pt idx="27">
                  <c:v>5.400000000000002</c:v>
                </c:pt>
                <c:pt idx="28">
                  <c:v>5.600000000000002</c:v>
                </c:pt>
                <c:pt idx="29">
                  <c:v>5.800000000000002</c:v>
                </c:pt>
                <c:pt idx="30">
                  <c:v>6.000000000000003</c:v>
                </c:pt>
                <c:pt idx="31">
                  <c:v>6.200000000000003</c:v>
                </c:pt>
                <c:pt idx="32">
                  <c:v>6.400000000000003</c:v>
                </c:pt>
                <c:pt idx="33">
                  <c:v>6.600000000000003</c:v>
                </c:pt>
                <c:pt idx="34">
                  <c:v>6.800000000000003</c:v>
                </c:pt>
                <c:pt idx="35">
                  <c:v>7.000000000000004</c:v>
                </c:pt>
                <c:pt idx="36">
                  <c:v>7.200000000000004</c:v>
                </c:pt>
                <c:pt idx="37">
                  <c:v>7.400000000000004</c:v>
                </c:pt>
                <c:pt idx="38">
                  <c:v>7.600000000000004</c:v>
                </c:pt>
                <c:pt idx="39">
                  <c:v>7.800000000000004</c:v>
                </c:pt>
                <c:pt idx="40">
                  <c:v>8.000000000000003</c:v>
                </c:pt>
              </c:numCache>
            </c:numRef>
          </c:xVal>
          <c:yVal>
            <c:numRef>
              <c:f>prazo_entrega!$Z$2:$Z$42</c:f>
              <c:numCache>
                <c:formatCode>0.00</c:formatCode>
                <c:ptCount val="41"/>
                <c:pt idx="0">
                  <c:v>1.03670256673741E-12</c:v>
                </c:pt>
                <c:pt idx="1">
                  <c:v>1.58540650960216E-11</c:v>
                </c:pt>
                <c:pt idx="2">
                  <c:v>2.10058568462829E-10</c:v>
                </c:pt>
                <c:pt idx="3">
                  <c:v>2.41131233088707E-9</c:v>
                </c:pt>
                <c:pt idx="4">
                  <c:v>2.3981692705283E-8</c:v>
                </c:pt>
                <c:pt idx="5">
                  <c:v>2.06642430649647E-7</c:v>
                </c:pt>
                <c:pt idx="6">
                  <c:v>1.54266799901647E-6</c:v>
                </c:pt>
                <c:pt idx="7">
                  <c:v>9.97789066666705E-6</c:v>
                </c:pt>
                <c:pt idx="8">
                  <c:v>5.59137103247982E-5</c:v>
                </c:pt>
                <c:pt idx="9">
                  <c:v>0.000271463337760773</c:v>
                </c:pt>
                <c:pt idx="10">
                  <c:v>0.00114187182797484</c:v>
                </c:pt>
                <c:pt idx="11">
                  <c:v>0.00416137480153334</c:v>
                </c:pt>
                <c:pt idx="12">
                  <c:v>0.0131392207432754</c:v>
                </c:pt>
                <c:pt idx="13">
                  <c:v>0.0359431128205184</c:v>
                </c:pt>
                <c:pt idx="14">
                  <c:v>0.0851873413418544</c:v>
                </c:pt>
                <c:pt idx="15">
                  <c:v>0.174923332956907</c:v>
                </c:pt>
                <c:pt idx="16">
                  <c:v>0.311195798057876</c:v>
                </c:pt>
                <c:pt idx="17">
                  <c:v>0.479659450921472</c:v>
                </c:pt>
                <c:pt idx="18">
                  <c:v>0.640539016791449</c:v>
                </c:pt>
                <c:pt idx="19">
                  <c:v>0.741090886884526</c:v>
                </c:pt>
                <c:pt idx="20">
                  <c:v>0.742866301510022</c:v>
                </c:pt>
                <c:pt idx="21">
                  <c:v>0.645153628651423</c:v>
                </c:pt>
                <c:pt idx="22">
                  <c:v>0.485432592226624</c:v>
                </c:pt>
                <c:pt idx="23">
                  <c:v>0.31645212793939</c:v>
                </c:pt>
                <c:pt idx="24">
                  <c:v>0.178731216016535</c:v>
                </c:pt>
                <c:pt idx="25">
                  <c:v>0.0874593209465002</c:v>
                </c:pt>
                <c:pt idx="26">
                  <c:v>0.0370787507143404</c:v>
                </c:pt>
                <c:pt idx="27">
                  <c:v>0.0136193815329175</c:v>
                </c:pt>
                <c:pt idx="28">
                  <c:v>0.00433414044997708</c:v>
                </c:pt>
                <c:pt idx="29">
                  <c:v>0.00119498341074819</c:v>
                </c:pt>
                <c:pt idx="30">
                  <c:v>0.000285452645937715</c:v>
                </c:pt>
                <c:pt idx="31">
                  <c:v>5.90771547447269E-5</c:v>
                </c:pt>
                <c:pt idx="32">
                  <c:v>1.05929853041443E-5</c:v>
                </c:pt>
                <c:pt idx="33">
                  <c:v>1.6456234595745E-6</c:v>
                </c:pt>
                <c:pt idx="34">
                  <c:v>2.21490891516461E-7</c:v>
                </c:pt>
                <c:pt idx="35">
                  <c:v>2.58282257489782E-8</c:v>
                </c:pt>
                <c:pt idx="36">
                  <c:v>2.60943556499662E-9</c:v>
                </c:pt>
                <c:pt idx="37">
                  <c:v>2.28408300296406E-10</c:v>
                </c:pt>
                <c:pt idx="38">
                  <c:v>1.73216990133565E-11</c:v>
                </c:pt>
                <c:pt idx="39">
                  <c:v>1.13810516678922E-12</c:v>
                </c:pt>
                <c:pt idx="40">
                  <c:v>6.47869601728248E-14</c:v>
                </c:pt>
              </c:numCache>
            </c:numRef>
          </c:yVal>
          <c:smooth val="1"/>
        </c:ser>
        <c:ser>
          <c:idx val="1"/>
          <c:order val="1"/>
          <c:tx>
            <c:v>fe2: N (3.96, 0.79^2 )</c:v>
          </c:tx>
          <c:spPr>
            <a:ln>
              <a:solidFill>
                <a:prstClr val="black"/>
              </a:solidFill>
              <a:prstDash val="dash"/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0.0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1.0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3.0</c:v>
                </c:pt>
                <c:pt idx="16">
                  <c:v>3.200000000000001</c:v>
                </c:pt>
                <c:pt idx="17">
                  <c:v>3.400000000000001</c:v>
                </c:pt>
                <c:pt idx="18">
                  <c:v>3.600000000000001</c:v>
                </c:pt>
                <c:pt idx="19">
                  <c:v>3.800000000000001</c:v>
                </c:pt>
                <c:pt idx="20">
                  <c:v>4.000000000000001</c:v>
                </c:pt>
                <c:pt idx="21">
                  <c:v>4.200000000000001</c:v>
                </c:pt>
                <c:pt idx="22">
                  <c:v>4.400000000000001</c:v>
                </c:pt>
                <c:pt idx="23">
                  <c:v>4.600000000000001</c:v>
                </c:pt>
                <c:pt idx="24">
                  <c:v>4.800000000000002</c:v>
                </c:pt>
                <c:pt idx="25">
                  <c:v>5.000000000000002</c:v>
                </c:pt>
                <c:pt idx="26">
                  <c:v>5.200000000000002</c:v>
                </c:pt>
                <c:pt idx="27">
                  <c:v>5.400000000000002</c:v>
                </c:pt>
                <c:pt idx="28">
                  <c:v>5.600000000000002</c:v>
                </c:pt>
                <c:pt idx="29">
                  <c:v>5.800000000000002</c:v>
                </c:pt>
                <c:pt idx="30">
                  <c:v>6.000000000000003</c:v>
                </c:pt>
                <c:pt idx="31">
                  <c:v>6.200000000000003</c:v>
                </c:pt>
                <c:pt idx="32">
                  <c:v>6.400000000000003</c:v>
                </c:pt>
                <c:pt idx="33">
                  <c:v>6.600000000000003</c:v>
                </c:pt>
                <c:pt idx="34">
                  <c:v>6.800000000000003</c:v>
                </c:pt>
                <c:pt idx="35">
                  <c:v>7.000000000000004</c:v>
                </c:pt>
                <c:pt idx="36">
                  <c:v>7.200000000000004</c:v>
                </c:pt>
                <c:pt idx="37">
                  <c:v>7.400000000000004</c:v>
                </c:pt>
                <c:pt idx="38">
                  <c:v>7.600000000000004</c:v>
                </c:pt>
                <c:pt idx="39">
                  <c:v>7.800000000000004</c:v>
                </c:pt>
                <c:pt idx="40">
                  <c:v>8.000000000000003</c:v>
                </c:pt>
              </c:numCache>
            </c:numRef>
          </c:xVal>
          <c:yVal>
            <c:numRef>
              <c:f>prazo_entrega!$AA$2:$AA$42</c:f>
              <c:numCache>
                <c:formatCode>0.00</c:formatCode>
                <c:ptCount val="41"/>
                <c:pt idx="0">
                  <c:v>1.85014929367224E-6</c:v>
                </c:pt>
                <c:pt idx="1">
                  <c:v>6.33399563448098E-6</c:v>
                </c:pt>
                <c:pt idx="2">
                  <c:v>2.0346515796951E-5</c:v>
                </c:pt>
                <c:pt idx="3">
                  <c:v>6.13258596749297E-5</c:v>
                </c:pt>
                <c:pt idx="4">
                  <c:v>0.000173435718834336</c:v>
                </c:pt>
                <c:pt idx="5">
                  <c:v>0.000460229814038553</c:v>
                </c:pt>
                <c:pt idx="6">
                  <c:v>0.0011459146149405</c:v>
                </c:pt>
                <c:pt idx="7">
                  <c:v>0.00267713993471444</c:v>
                </c:pt>
                <c:pt idx="8">
                  <c:v>0.00586855516337939</c:v>
                </c:pt>
                <c:pt idx="9">
                  <c:v>0.0120707044046719</c:v>
                </c:pt>
                <c:pt idx="10">
                  <c:v>0.023295677374321</c:v>
                </c:pt>
                <c:pt idx="11">
                  <c:v>0.0421851284769227</c:v>
                </c:pt>
                <c:pt idx="12">
                  <c:v>0.0716778077277866</c:v>
                </c:pt>
                <c:pt idx="13">
                  <c:v>0.114275033293227</c:v>
                </c:pt>
                <c:pt idx="14">
                  <c:v>0.170946141981853</c:v>
                </c:pt>
                <c:pt idx="15">
                  <c:v>0.239943260432793</c:v>
                </c:pt>
                <c:pt idx="16">
                  <c:v>0.316008753445149</c:v>
                </c:pt>
                <c:pt idx="17">
                  <c:v>0.390508934271591</c:v>
                </c:pt>
                <c:pt idx="18">
                  <c:v>0.452797625489474</c:v>
                </c:pt>
                <c:pt idx="19">
                  <c:v>0.492627454601178</c:v>
                </c:pt>
                <c:pt idx="20">
                  <c:v>0.502891607197949</c:v>
                </c:pt>
                <c:pt idx="21">
                  <c:v>0.481694256854217</c:v>
                </c:pt>
                <c:pt idx="22">
                  <c:v>0.432922196986443</c:v>
                </c:pt>
                <c:pt idx="23">
                  <c:v>0.365081262645477</c:v>
                </c:pt>
                <c:pt idx="24">
                  <c:v>0.288875385995464</c:v>
                </c:pt>
                <c:pt idx="25">
                  <c:v>0.214473104604961</c:v>
                </c:pt>
                <c:pt idx="26">
                  <c:v>0.149408891245152</c:v>
                </c:pt>
                <c:pt idx="27">
                  <c:v>0.0976610416331534</c:v>
                </c:pt>
                <c:pt idx="28">
                  <c:v>0.0598973441262324</c:v>
                </c:pt>
                <c:pt idx="29">
                  <c:v>0.0344695080125739</c:v>
                </c:pt>
                <c:pt idx="30">
                  <c:v>0.0186124656037143</c:v>
                </c:pt>
                <c:pt idx="31">
                  <c:v>0.00943005088879454</c:v>
                </c:pt>
                <c:pt idx="32">
                  <c:v>0.00448296625077084</c:v>
                </c:pt>
                <c:pt idx="33">
                  <c:v>0.00199966942877737</c:v>
                </c:pt>
                <c:pt idx="34">
                  <c:v>0.000836936001104759</c:v>
                </c:pt>
                <c:pt idx="35">
                  <c:v>0.000328675700224358</c:v>
                </c:pt>
                <c:pt idx="36">
                  <c:v>0.000121111183715429</c:v>
                </c:pt>
                <c:pt idx="37">
                  <c:v>4.18737837255017E-5</c:v>
                </c:pt>
                <c:pt idx="38">
                  <c:v>1.35844314676778E-5</c:v>
                </c:pt>
                <c:pt idx="39">
                  <c:v>4.13506207426448E-6</c:v>
                </c:pt>
                <c:pt idx="40">
                  <c:v>1.18103809021001E-6</c:v>
                </c:pt>
              </c:numCache>
            </c:numRef>
          </c:yVal>
          <c:smooth val="0"/>
        </c:ser>
        <c:ser>
          <c:idx val="2"/>
          <c:order val="2"/>
          <c:tx>
            <c:v>fo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 w="15875">
                <a:solidFill>
                  <a:prstClr val="black"/>
                </a:solidFill>
              </a:ln>
            </c:spPr>
          </c:marker>
          <c:xVal>
            <c:numRef>
              <c:f>prazo_entrega!$AC$6:$AC$10</c:f>
              <c:numCache>
                <c:formatCode>General</c:formatCode>
                <c:ptCount val="5"/>
                <c:pt idx="0">
                  <c:v>2.0</c:v>
                </c:pt>
                <c:pt idx="1">
                  <c:v>3.0</c:v>
                </c:pt>
                <c:pt idx="2">
                  <c:v>4.0</c:v>
                </c:pt>
                <c:pt idx="3">
                  <c:v>5.0</c:v>
                </c:pt>
                <c:pt idx="4">
                  <c:v>6.0</c:v>
                </c:pt>
              </c:numCache>
            </c:numRef>
          </c:xVal>
          <c:yVal>
            <c:numRef>
              <c:f>prazo_entrega!$AD$6:$AD$10</c:f>
              <c:numCache>
                <c:formatCode>General</c:formatCode>
                <c:ptCount val="5"/>
                <c:pt idx="0">
                  <c:v>0.04</c:v>
                </c:pt>
                <c:pt idx="1">
                  <c:v>0.16</c:v>
                </c:pt>
                <c:pt idx="2">
                  <c:v>0.68</c:v>
                </c:pt>
                <c:pt idx="3">
                  <c:v>0.08</c:v>
                </c:pt>
                <c:pt idx="4">
                  <c:v>0.04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249728"/>
        <c:axId val="2140266784"/>
      </c:scatterChart>
      <c:valAx>
        <c:axId val="2140249728"/>
        <c:scaling>
          <c:orientation val="minMax"/>
          <c:max val="7.0"/>
          <c:min val="1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Semanas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140266784"/>
        <c:crosses val="autoZero"/>
        <c:crossBetween val="midCat"/>
        <c:minorUnit val="0.5"/>
      </c:valAx>
      <c:valAx>
        <c:axId val="2140266784"/>
        <c:scaling>
          <c:orientation val="minMax"/>
          <c:min val="0.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1402497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56</xdr:row>
      <xdr:rowOff>9525</xdr:rowOff>
    </xdr:from>
    <xdr:to>
      <xdr:col>13</xdr:col>
      <xdr:colOff>542925</xdr:colOff>
      <xdr:row>73</xdr:row>
      <xdr:rowOff>0</xdr:rowOff>
    </xdr:to>
    <xdr:graphicFrame macro="">
      <xdr:nvGraphicFramePr>
        <xdr:cNvPr id="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58</xdr:row>
      <xdr:rowOff>127000</xdr:rowOff>
    </xdr:from>
    <xdr:to>
      <xdr:col>9</xdr:col>
      <xdr:colOff>0</xdr:colOff>
      <xdr:row>80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180974</xdr:rowOff>
    </xdr:from>
    <xdr:to>
      <xdr:col>17</xdr:col>
      <xdr:colOff>0</xdr:colOff>
      <xdr:row>15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</xdr:colOff>
      <xdr:row>18</xdr:row>
      <xdr:rowOff>180974</xdr:rowOff>
    </xdr:from>
    <xdr:to>
      <xdr:col>17</xdr:col>
      <xdr:colOff>0</xdr:colOff>
      <xdr:row>33</xdr:row>
      <xdr:rowOff>161924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380999</xdr:colOff>
      <xdr:row>10</xdr:row>
      <xdr:rowOff>152400</xdr:rowOff>
    </xdr:from>
    <xdr:to>
      <xdr:col>36</xdr:col>
      <xdr:colOff>0</xdr:colOff>
      <xdr:row>30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T/Dropbox/lei_meio_tp1_2012-13/Gest&#227;o%20de%20Invent&#225;ri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ível"/>
      <sheetName val="Ciclo (Discreta)"/>
      <sheetName val="Ciclo (Normal)"/>
      <sheetName val="Nível (VBA)"/>
      <sheetName val="Anexo-Tabela N(0,1)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2"/>
  <sheetViews>
    <sheetView workbookViewId="0">
      <selection activeCell="G29" sqref="G29"/>
    </sheetView>
  </sheetViews>
  <sheetFormatPr baseColWidth="10" defaultColWidth="8.83203125" defaultRowHeight="13" x14ac:dyDescent="0.15"/>
  <sheetData>
    <row r="1" spans="1:14" x14ac:dyDescent="0.15">
      <c r="A1" s="1" t="s">
        <v>1</v>
      </c>
      <c r="B1" s="1"/>
    </row>
    <row r="2" spans="1:14" x14ac:dyDescent="0.15">
      <c r="A2" s="1" t="s">
        <v>2</v>
      </c>
      <c r="B2" s="1" t="s">
        <v>73</v>
      </c>
    </row>
    <row r="4" spans="1:14" x14ac:dyDescent="0.15">
      <c r="A4" s="1" t="s">
        <v>3</v>
      </c>
      <c r="B4" s="2"/>
      <c r="C4" s="2"/>
      <c r="D4" s="2"/>
      <c r="E4" s="2"/>
      <c r="F4" s="2"/>
      <c r="G4" s="2"/>
    </row>
    <row r="5" spans="1:14" x14ac:dyDescent="0.15">
      <c r="A5" s="6"/>
      <c r="B5" s="75" t="s">
        <v>4</v>
      </c>
      <c r="C5" s="75"/>
      <c r="D5" s="75"/>
      <c r="E5" s="66"/>
      <c r="F5" s="66"/>
      <c r="G5" s="2"/>
      <c r="J5" s="3" t="s">
        <v>74</v>
      </c>
      <c r="K5" s="4"/>
      <c r="L5" s="4"/>
      <c r="M5" s="4"/>
      <c r="N5" s="4"/>
    </row>
    <row r="6" spans="1:14" x14ac:dyDescent="0.15">
      <c r="A6" s="54" t="s">
        <v>5</v>
      </c>
      <c r="B6" s="6">
        <v>2012</v>
      </c>
      <c r="C6" s="6">
        <v>2013</v>
      </c>
      <c r="D6" s="6">
        <v>2014</v>
      </c>
      <c r="E6" s="66"/>
      <c r="F6" s="66"/>
      <c r="G6" s="2"/>
      <c r="J6" s="4"/>
      <c r="K6" s="4"/>
      <c r="L6" s="4"/>
      <c r="M6" s="4"/>
      <c r="N6" s="4"/>
    </row>
    <row r="7" spans="1:14" x14ac:dyDescent="0.15">
      <c r="A7" s="7">
        <v>1</v>
      </c>
      <c r="B7" s="7">
        <v>253</v>
      </c>
      <c r="C7" s="7">
        <v>281</v>
      </c>
      <c r="D7" s="7">
        <v>323</v>
      </c>
      <c r="E7" s="7"/>
      <c r="F7" s="7"/>
      <c r="G7" s="2"/>
      <c r="J7" s="4" t="s">
        <v>0</v>
      </c>
      <c r="K7" s="4"/>
      <c r="L7" s="4"/>
      <c r="M7" s="4"/>
      <c r="N7" s="4"/>
    </row>
    <row r="8" spans="1:14" x14ac:dyDescent="0.15">
      <c r="A8" s="7">
        <v>2</v>
      </c>
      <c r="B8" s="7">
        <v>251</v>
      </c>
      <c r="C8" s="7">
        <v>286</v>
      </c>
      <c r="D8" s="7">
        <v>346</v>
      </c>
      <c r="E8" s="7"/>
      <c r="F8" s="7"/>
      <c r="G8" s="2"/>
      <c r="J8" s="4"/>
      <c r="K8" s="4"/>
      <c r="L8" s="4"/>
      <c r="M8" s="4"/>
      <c r="N8" s="4"/>
    </row>
    <row r="9" spans="1:14" x14ac:dyDescent="0.15">
      <c r="A9" s="7">
        <v>3</v>
      </c>
      <c r="B9" s="7">
        <v>240</v>
      </c>
      <c r="C9" s="7">
        <v>295</v>
      </c>
      <c r="D9" s="7">
        <v>307</v>
      </c>
      <c r="E9" s="7"/>
      <c r="F9" s="7"/>
      <c r="G9" s="2"/>
      <c r="J9" s="5" t="s">
        <v>8</v>
      </c>
      <c r="K9" s="4"/>
      <c r="L9" s="4"/>
      <c r="M9" s="4"/>
      <c r="N9" s="4"/>
    </row>
    <row r="10" spans="1:14" x14ac:dyDescent="0.15">
      <c r="A10" s="7">
        <v>4</v>
      </c>
      <c r="B10" s="7">
        <v>287</v>
      </c>
      <c r="C10" s="7">
        <v>294</v>
      </c>
      <c r="D10" s="7">
        <v>346</v>
      </c>
      <c r="E10" s="7"/>
      <c r="F10" s="7"/>
      <c r="G10" s="2"/>
      <c r="J10" s="4"/>
      <c r="K10" s="4"/>
      <c r="L10" s="4"/>
      <c r="M10" s="4"/>
      <c r="N10" s="4"/>
    </row>
    <row r="11" spans="1:14" x14ac:dyDescent="0.15">
      <c r="A11" s="7">
        <v>5</v>
      </c>
      <c r="B11" s="7">
        <v>218</v>
      </c>
      <c r="C11" s="7">
        <v>273</v>
      </c>
      <c r="D11" s="7">
        <v>313</v>
      </c>
      <c r="E11" s="7"/>
      <c r="F11" s="7"/>
      <c r="G11" s="2"/>
    </row>
    <row r="12" spans="1:14" x14ac:dyDescent="0.15">
      <c r="A12" s="7">
        <v>6</v>
      </c>
      <c r="B12" s="7">
        <v>253</v>
      </c>
      <c r="C12" s="7">
        <v>264</v>
      </c>
      <c r="D12" s="7">
        <v>346</v>
      </c>
      <c r="E12" s="7"/>
      <c r="F12" s="7"/>
      <c r="G12" s="2"/>
    </row>
    <row r="13" spans="1:14" x14ac:dyDescent="0.15">
      <c r="A13" s="7">
        <v>7</v>
      </c>
      <c r="B13" s="7">
        <v>229</v>
      </c>
      <c r="C13" s="7">
        <v>302</v>
      </c>
      <c r="D13" s="7">
        <v>381</v>
      </c>
      <c r="E13" s="7"/>
      <c r="F13" s="7"/>
      <c r="G13" s="2"/>
    </row>
    <row r="14" spans="1:14" x14ac:dyDescent="0.15">
      <c r="A14" s="7">
        <v>8</v>
      </c>
      <c r="B14" s="7">
        <v>257</v>
      </c>
      <c r="C14" s="7">
        <v>277</v>
      </c>
      <c r="D14" s="7">
        <v>319</v>
      </c>
      <c r="E14" s="7"/>
      <c r="F14" s="7"/>
      <c r="G14" s="2"/>
    </row>
    <row r="15" spans="1:14" x14ac:dyDescent="0.15">
      <c r="A15" s="7">
        <v>9</v>
      </c>
      <c r="B15" s="7">
        <v>241</v>
      </c>
      <c r="C15" s="7">
        <v>303</v>
      </c>
      <c r="D15" s="7">
        <v>294</v>
      </c>
      <c r="E15" s="7"/>
      <c r="F15" s="7"/>
      <c r="G15" s="2"/>
    </row>
    <row r="16" spans="1:14" x14ac:dyDescent="0.15">
      <c r="A16" s="7">
        <v>10</v>
      </c>
      <c r="B16" s="7">
        <v>268</v>
      </c>
      <c r="C16" s="7">
        <v>296</v>
      </c>
      <c r="D16" s="7">
        <v>344</v>
      </c>
      <c r="E16" s="7"/>
      <c r="F16" s="7"/>
      <c r="G16" s="2"/>
    </row>
    <row r="17" spans="1:7" x14ac:dyDescent="0.15">
      <c r="A17" s="7">
        <v>11</v>
      </c>
      <c r="B17" s="7">
        <v>226</v>
      </c>
      <c r="C17" s="7">
        <v>296</v>
      </c>
      <c r="D17" s="7">
        <v>347</v>
      </c>
      <c r="E17" s="7"/>
      <c r="F17" s="7"/>
      <c r="G17" s="2"/>
    </row>
    <row r="18" spans="1:7" x14ac:dyDescent="0.15">
      <c r="A18" s="7">
        <v>12</v>
      </c>
      <c r="B18" s="7">
        <v>241</v>
      </c>
      <c r="C18" s="7">
        <v>278</v>
      </c>
      <c r="D18" s="7">
        <v>319</v>
      </c>
      <c r="E18" s="7"/>
      <c r="F18" s="7"/>
      <c r="G18" s="2"/>
    </row>
    <row r="19" spans="1:7" x14ac:dyDescent="0.15">
      <c r="A19" s="7">
        <v>13</v>
      </c>
      <c r="B19" s="7">
        <v>275</v>
      </c>
      <c r="C19" s="7">
        <v>282</v>
      </c>
      <c r="D19" s="7">
        <v>359</v>
      </c>
      <c r="E19" s="7"/>
      <c r="F19" s="7"/>
    </row>
    <row r="20" spans="1:7" x14ac:dyDescent="0.15">
      <c r="A20" s="7">
        <v>14</v>
      </c>
      <c r="B20" s="7">
        <v>242</v>
      </c>
      <c r="C20" s="7">
        <v>274</v>
      </c>
      <c r="D20" s="7">
        <v>346</v>
      </c>
      <c r="E20" s="7"/>
      <c r="F20" s="7"/>
    </row>
    <row r="21" spans="1:7" x14ac:dyDescent="0.15">
      <c r="A21" s="7">
        <v>15</v>
      </c>
      <c r="B21" s="7">
        <v>269</v>
      </c>
      <c r="C21" s="7">
        <v>295</v>
      </c>
      <c r="D21" s="7">
        <v>333</v>
      </c>
      <c r="E21" s="7"/>
      <c r="F21" s="7"/>
    </row>
    <row r="22" spans="1:7" x14ac:dyDescent="0.15">
      <c r="A22" s="7">
        <v>16</v>
      </c>
      <c r="B22" s="7">
        <v>261</v>
      </c>
      <c r="C22" s="7">
        <v>312</v>
      </c>
      <c r="D22" s="7">
        <v>339</v>
      </c>
      <c r="E22" s="7"/>
      <c r="F22" s="7"/>
    </row>
    <row r="23" spans="1:7" x14ac:dyDescent="0.15">
      <c r="A23" s="7">
        <v>17</v>
      </c>
      <c r="B23" s="7">
        <v>267</v>
      </c>
      <c r="C23" s="7">
        <v>297</v>
      </c>
      <c r="D23" s="7">
        <v>322</v>
      </c>
      <c r="E23" s="7"/>
      <c r="F23" s="7"/>
    </row>
    <row r="24" spans="1:7" x14ac:dyDescent="0.15">
      <c r="A24" s="7">
        <v>18</v>
      </c>
      <c r="B24" s="7">
        <v>227</v>
      </c>
      <c r="C24" s="7">
        <v>272</v>
      </c>
      <c r="D24" s="7">
        <v>370</v>
      </c>
      <c r="E24" s="7"/>
      <c r="F24" s="7"/>
    </row>
    <row r="25" spans="1:7" x14ac:dyDescent="0.15">
      <c r="A25" s="7">
        <v>19</v>
      </c>
      <c r="B25" s="7">
        <v>225</v>
      </c>
      <c r="C25" s="7">
        <v>279</v>
      </c>
      <c r="D25" s="7">
        <v>346</v>
      </c>
      <c r="E25" s="7"/>
      <c r="F25" s="7"/>
    </row>
    <row r="26" spans="1:7" x14ac:dyDescent="0.15">
      <c r="A26" s="7">
        <v>20</v>
      </c>
      <c r="B26" s="7">
        <v>221</v>
      </c>
      <c r="C26" s="7">
        <v>283</v>
      </c>
      <c r="D26" s="7">
        <v>330</v>
      </c>
      <c r="E26" s="7"/>
      <c r="F26" s="7"/>
    </row>
    <row r="27" spans="1:7" x14ac:dyDescent="0.15">
      <c r="A27" s="7">
        <v>21</v>
      </c>
      <c r="B27" s="7">
        <v>256</v>
      </c>
      <c r="C27" s="7">
        <v>287</v>
      </c>
      <c r="D27" s="7">
        <v>335</v>
      </c>
      <c r="E27" s="7"/>
      <c r="F27" s="7"/>
    </row>
    <row r="28" spans="1:7" x14ac:dyDescent="0.15">
      <c r="A28" s="7">
        <v>22</v>
      </c>
      <c r="B28" s="7">
        <v>217</v>
      </c>
      <c r="C28" s="7">
        <v>282</v>
      </c>
      <c r="D28" s="7">
        <v>341</v>
      </c>
      <c r="E28" s="7"/>
      <c r="F28" s="7"/>
    </row>
    <row r="29" spans="1:7" x14ac:dyDescent="0.15">
      <c r="A29" s="7">
        <v>23</v>
      </c>
      <c r="B29" s="7">
        <v>229</v>
      </c>
      <c r="C29" s="7">
        <v>275</v>
      </c>
      <c r="D29" s="7">
        <v>336</v>
      </c>
      <c r="E29" s="7"/>
      <c r="F29" s="7"/>
    </row>
    <row r="30" spans="1:7" x14ac:dyDescent="0.15">
      <c r="A30" s="7">
        <v>24</v>
      </c>
      <c r="B30" s="7">
        <v>222</v>
      </c>
      <c r="C30" s="7">
        <v>298</v>
      </c>
      <c r="D30" s="7">
        <v>324</v>
      </c>
      <c r="E30" s="7"/>
      <c r="F30" s="7"/>
    </row>
    <row r="31" spans="1:7" x14ac:dyDescent="0.15">
      <c r="A31" s="7">
        <v>25</v>
      </c>
      <c r="B31" s="7">
        <v>433</v>
      </c>
      <c r="C31" s="7">
        <v>479</v>
      </c>
      <c r="D31" s="7">
        <v>568</v>
      </c>
      <c r="E31" s="7"/>
      <c r="F31" s="7"/>
    </row>
    <row r="32" spans="1:7" x14ac:dyDescent="0.15">
      <c r="A32" s="7">
        <v>26</v>
      </c>
      <c r="B32" s="7">
        <v>410</v>
      </c>
      <c r="C32" s="7">
        <v>487</v>
      </c>
      <c r="D32" s="7">
        <v>576</v>
      </c>
      <c r="E32" s="7"/>
      <c r="F32" s="7"/>
    </row>
    <row r="33" spans="1:6" x14ac:dyDescent="0.15">
      <c r="A33" s="7">
        <v>27</v>
      </c>
      <c r="B33" s="7">
        <v>407</v>
      </c>
      <c r="C33" s="7">
        <v>477</v>
      </c>
      <c r="D33" s="7">
        <v>585</v>
      </c>
      <c r="E33" s="7"/>
      <c r="F33" s="7"/>
    </row>
    <row r="34" spans="1:6" x14ac:dyDescent="0.15">
      <c r="A34" s="7">
        <v>28</v>
      </c>
      <c r="B34" s="7">
        <v>418</v>
      </c>
      <c r="C34" s="7">
        <v>485</v>
      </c>
      <c r="D34" s="7">
        <v>557</v>
      </c>
      <c r="E34" s="7"/>
      <c r="F34" s="7"/>
    </row>
    <row r="35" spans="1:6" x14ac:dyDescent="0.15">
      <c r="A35" s="7">
        <v>29</v>
      </c>
      <c r="B35" s="7">
        <v>429</v>
      </c>
      <c r="C35" s="7">
        <v>489</v>
      </c>
      <c r="D35" s="7">
        <v>589</v>
      </c>
      <c r="E35" s="7"/>
      <c r="F35" s="7"/>
    </row>
    <row r="36" spans="1:6" x14ac:dyDescent="0.15">
      <c r="A36" s="7">
        <v>30</v>
      </c>
      <c r="B36" s="7">
        <v>423</v>
      </c>
      <c r="C36" s="7">
        <v>501</v>
      </c>
      <c r="D36" s="7">
        <v>573</v>
      </c>
      <c r="E36" s="7"/>
      <c r="F36" s="7"/>
    </row>
    <row r="37" spans="1:6" x14ac:dyDescent="0.15">
      <c r="A37" s="7">
        <v>31</v>
      </c>
      <c r="B37" s="7">
        <v>464</v>
      </c>
      <c r="C37" s="7">
        <v>493</v>
      </c>
      <c r="D37" s="7">
        <v>603</v>
      </c>
      <c r="E37" s="7"/>
      <c r="F37" s="7"/>
    </row>
    <row r="38" spans="1:6" x14ac:dyDescent="0.15">
      <c r="A38" s="7">
        <v>32</v>
      </c>
      <c r="B38" s="7">
        <v>415</v>
      </c>
      <c r="C38" s="7">
        <v>514</v>
      </c>
      <c r="D38" s="7">
        <v>565</v>
      </c>
      <c r="E38" s="7"/>
      <c r="F38" s="7"/>
    </row>
    <row r="39" spans="1:6" x14ac:dyDescent="0.15">
      <c r="A39" s="7">
        <v>33</v>
      </c>
      <c r="B39" s="7">
        <v>397</v>
      </c>
      <c r="C39" s="7">
        <v>478</v>
      </c>
      <c r="D39" s="7">
        <v>556</v>
      </c>
      <c r="E39" s="7"/>
      <c r="F39" s="7"/>
    </row>
    <row r="40" spans="1:6" x14ac:dyDescent="0.15">
      <c r="A40" s="7">
        <v>34</v>
      </c>
      <c r="B40" s="7">
        <v>448</v>
      </c>
      <c r="C40" s="7">
        <v>500</v>
      </c>
      <c r="D40" s="7">
        <v>579</v>
      </c>
      <c r="E40" s="7"/>
      <c r="F40" s="7"/>
    </row>
    <row r="41" spans="1:6" x14ac:dyDescent="0.15">
      <c r="A41" s="7">
        <v>35</v>
      </c>
      <c r="B41" s="7">
        <v>413</v>
      </c>
      <c r="C41" s="7">
        <v>494</v>
      </c>
      <c r="D41" s="7">
        <v>552</v>
      </c>
      <c r="E41" s="7"/>
      <c r="F41" s="7"/>
    </row>
    <row r="42" spans="1:6" x14ac:dyDescent="0.15">
      <c r="A42" s="7">
        <v>36</v>
      </c>
      <c r="B42" s="7">
        <v>424</v>
      </c>
      <c r="C42" s="7">
        <v>461</v>
      </c>
      <c r="D42" s="7">
        <v>582</v>
      </c>
      <c r="E42" s="7"/>
      <c r="F42" s="7"/>
    </row>
    <row r="43" spans="1:6" x14ac:dyDescent="0.15">
      <c r="A43" s="7">
        <v>37</v>
      </c>
      <c r="B43" s="7">
        <v>464</v>
      </c>
      <c r="C43" s="7">
        <v>475</v>
      </c>
      <c r="D43" s="7">
        <v>544</v>
      </c>
      <c r="E43" s="7"/>
      <c r="F43" s="7"/>
    </row>
    <row r="44" spans="1:6" x14ac:dyDescent="0.15">
      <c r="A44" s="7">
        <v>38</v>
      </c>
      <c r="B44" s="7">
        <v>422</v>
      </c>
      <c r="C44" s="7">
        <v>490</v>
      </c>
      <c r="D44" s="7">
        <v>595</v>
      </c>
      <c r="E44" s="7"/>
      <c r="F44" s="7"/>
    </row>
    <row r="45" spans="1:6" x14ac:dyDescent="0.15">
      <c r="A45" s="7">
        <v>39</v>
      </c>
      <c r="B45" s="7">
        <v>412</v>
      </c>
      <c r="C45" s="7">
        <v>524</v>
      </c>
      <c r="D45" s="7">
        <v>558</v>
      </c>
      <c r="E45" s="7"/>
      <c r="F45" s="7"/>
    </row>
    <row r="46" spans="1:6" x14ac:dyDescent="0.15">
      <c r="A46" s="7">
        <v>40</v>
      </c>
      <c r="B46" s="7">
        <v>408</v>
      </c>
      <c r="C46" s="7">
        <v>463</v>
      </c>
      <c r="D46" s="7">
        <v>561</v>
      </c>
      <c r="E46" s="7"/>
      <c r="F46" s="7"/>
    </row>
    <row r="47" spans="1:6" x14ac:dyDescent="0.15">
      <c r="A47" s="7">
        <v>41</v>
      </c>
      <c r="B47" s="7">
        <v>428</v>
      </c>
      <c r="C47" s="7">
        <v>500</v>
      </c>
      <c r="D47" s="7">
        <v>590</v>
      </c>
      <c r="E47" s="7"/>
      <c r="F47" s="7"/>
    </row>
    <row r="48" spans="1:6" x14ac:dyDescent="0.15">
      <c r="A48" s="7">
        <v>42</v>
      </c>
      <c r="B48" s="7">
        <v>409</v>
      </c>
      <c r="C48" s="7">
        <v>477</v>
      </c>
      <c r="D48" s="7">
        <v>541</v>
      </c>
      <c r="E48" s="7"/>
      <c r="F48" s="7"/>
    </row>
    <row r="49" spans="1:6" x14ac:dyDescent="0.15">
      <c r="A49" s="7">
        <v>43</v>
      </c>
      <c r="B49" s="7">
        <v>417</v>
      </c>
      <c r="C49" s="7">
        <v>487</v>
      </c>
      <c r="D49" s="7">
        <v>592</v>
      </c>
      <c r="E49" s="7"/>
      <c r="F49" s="7"/>
    </row>
    <row r="50" spans="1:6" x14ac:dyDescent="0.15">
      <c r="A50" s="7">
        <v>44</v>
      </c>
      <c r="B50" s="7">
        <v>410</v>
      </c>
      <c r="C50" s="7">
        <v>496</v>
      </c>
      <c r="D50" s="7">
        <v>582</v>
      </c>
      <c r="E50" s="7"/>
      <c r="F50" s="7"/>
    </row>
    <row r="51" spans="1:6" x14ac:dyDescent="0.15">
      <c r="A51" s="7">
        <v>45</v>
      </c>
      <c r="B51" s="7">
        <v>439</v>
      </c>
      <c r="C51" s="7">
        <v>487</v>
      </c>
      <c r="D51" s="7">
        <v>560</v>
      </c>
      <c r="E51" s="7"/>
      <c r="F51" s="7"/>
    </row>
    <row r="52" spans="1:6" x14ac:dyDescent="0.15">
      <c r="A52" s="7">
        <v>46</v>
      </c>
      <c r="B52" s="7">
        <v>401</v>
      </c>
      <c r="C52" s="7">
        <v>454</v>
      </c>
      <c r="D52" s="7">
        <v>590</v>
      </c>
      <c r="E52" s="7"/>
      <c r="F52" s="7"/>
    </row>
    <row r="53" spans="1:6" x14ac:dyDescent="0.15">
      <c r="A53" s="7">
        <v>47</v>
      </c>
      <c r="B53" s="7">
        <v>243</v>
      </c>
      <c r="C53" s="7">
        <v>302</v>
      </c>
      <c r="D53" s="7">
        <v>329</v>
      </c>
      <c r="E53" s="7"/>
      <c r="F53" s="7"/>
    </row>
    <row r="54" spans="1:6" x14ac:dyDescent="0.15">
      <c r="A54" s="7">
        <v>48</v>
      </c>
      <c r="B54" s="7">
        <v>298</v>
      </c>
      <c r="C54" s="7">
        <v>308</v>
      </c>
      <c r="D54" s="7">
        <v>368</v>
      </c>
      <c r="E54" s="7"/>
      <c r="F54" s="7"/>
    </row>
    <row r="55" spans="1:6" x14ac:dyDescent="0.15">
      <c r="A55" s="7">
        <v>49</v>
      </c>
      <c r="B55" s="7">
        <v>288</v>
      </c>
      <c r="C55" s="7">
        <v>297</v>
      </c>
      <c r="D55" s="7">
        <v>373</v>
      </c>
      <c r="E55" s="7"/>
      <c r="F55" s="7"/>
    </row>
    <row r="56" spans="1:6" x14ac:dyDescent="0.15">
      <c r="A56" s="7">
        <v>50</v>
      </c>
      <c r="B56" s="7">
        <v>260</v>
      </c>
      <c r="C56" s="7">
        <v>288</v>
      </c>
      <c r="D56" s="7">
        <v>344</v>
      </c>
      <c r="E56" s="7"/>
      <c r="F56" s="7"/>
    </row>
    <row r="57" spans="1:6" x14ac:dyDescent="0.15">
      <c r="A57" s="52" t="s">
        <v>6</v>
      </c>
      <c r="B57" s="52">
        <f>AVERAGE(B7:B56)</f>
        <v>325.10000000000002</v>
      </c>
      <c r="C57" s="52">
        <f>AVERAGE(C7:C56)</f>
        <v>375.74</v>
      </c>
      <c r="D57" s="52">
        <f>AVERAGE(D7:D56)</f>
        <v>441.56</v>
      </c>
      <c r="E57" s="7"/>
      <c r="F57" s="7"/>
    </row>
    <row r="58" spans="1:6" x14ac:dyDescent="0.15">
      <c r="A58" s="52" t="s">
        <v>7</v>
      </c>
      <c r="B58" s="52">
        <f>STDEV(B7:B56)</f>
        <v>89.435930778886146</v>
      </c>
      <c r="C58" s="52">
        <f>STDEV(C7:C56)</f>
        <v>100.48348630699556</v>
      </c>
      <c r="D58" s="52">
        <f>STDEV(D7:D56)</f>
        <v>118.87142084570857</v>
      </c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</sheetData>
  <mergeCells count="1">
    <mergeCell ref="B5:D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69"/>
  <sheetViews>
    <sheetView topLeftCell="B1" workbookViewId="0">
      <selection activeCell="W43" sqref="W43"/>
    </sheetView>
  </sheetViews>
  <sheetFormatPr baseColWidth="10" defaultColWidth="8.83203125" defaultRowHeight="13" x14ac:dyDescent="0.15"/>
  <cols>
    <col min="1" max="1" width="42" bestFit="1" customWidth="1"/>
  </cols>
  <sheetData>
    <row r="1" spans="1:21" x14ac:dyDescent="0.15">
      <c r="A1" s="1" t="s">
        <v>1</v>
      </c>
      <c r="B1" s="1"/>
    </row>
    <row r="2" spans="1:21" x14ac:dyDescent="0.15">
      <c r="A2" s="1" t="s">
        <v>2</v>
      </c>
      <c r="B2" s="1">
        <v>67636</v>
      </c>
    </row>
    <row r="4" spans="1:21" x14ac:dyDescent="0.15">
      <c r="A4" s="1" t="s">
        <v>3</v>
      </c>
      <c r="B4" s="2"/>
      <c r="C4" s="2"/>
      <c r="D4" s="2"/>
      <c r="M4" s="16"/>
      <c r="N4" s="16"/>
      <c r="O4" s="16"/>
      <c r="P4" s="16"/>
      <c r="Q4" s="16"/>
      <c r="R4" s="16"/>
      <c r="S4" s="16"/>
      <c r="T4" s="16"/>
      <c r="U4" s="16"/>
    </row>
    <row r="5" spans="1:21" x14ac:dyDescent="0.15">
      <c r="A5" s="6"/>
      <c r="B5" s="75" t="s">
        <v>4</v>
      </c>
      <c r="C5" s="75"/>
      <c r="D5" s="75"/>
      <c r="M5" s="16"/>
      <c r="N5" s="78" t="s">
        <v>5</v>
      </c>
      <c r="O5" s="79">
        <v>2012</v>
      </c>
      <c r="P5" s="79">
        <v>2013</v>
      </c>
      <c r="Q5" s="79">
        <v>2014</v>
      </c>
      <c r="R5" s="16"/>
      <c r="S5" s="16"/>
      <c r="T5" s="16"/>
      <c r="U5" s="16"/>
    </row>
    <row r="6" spans="1:21" x14ac:dyDescent="0.15">
      <c r="A6" s="47" t="s">
        <v>5</v>
      </c>
      <c r="B6" s="6">
        <v>2012</v>
      </c>
      <c r="C6" s="6">
        <v>2013</v>
      </c>
      <c r="D6" s="6">
        <v>2014</v>
      </c>
      <c r="E6" s="6"/>
      <c r="M6" s="16"/>
      <c r="N6" s="80">
        <v>1</v>
      </c>
      <c r="O6" s="80">
        <v>253</v>
      </c>
      <c r="P6" s="80">
        <v>281</v>
      </c>
      <c r="Q6" s="80">
        <v>323</v>
      </c>
      <c r="R6" s="16"/>
      <c r="S6" s="16"/>
      <c r="T6" s="16"/>
      <c r="U6" s="16"/>
    </row>
    <row r="7" spans="1:21" x14ac:dyDescent="0.15">
      <c r="A7" s="7">
        <v>1</v>
      </c>
      <c r="B7" s="7">
        <v>253</v>
      </c>
      <c r="C7" s="7">
        <v>281</v>
      </c>
      <c r="D7" s="7">
        <v>323</v>
      </c>
      <c r="E7" s="53"/>
      <c r="H7" s="14"/>
      <c r="I7" s="14"/>
      <c r="K7" s="14"/>
      <c r="M7" s="16"/>
      <c r="N7" s="80">
        <v>2</v>
      </c>
      <c r="O7" s="80">
        <v>251</v>
      </c>
      <c r="P7" s="80">
        <v>286</v>
      </c>
      <c r="Q7" s="80">
        <v>346</v>
      </c>
      <c r="R7" s="46"/>
      <c r="S7" s="97" t="s">
        <v>16</v>
      </c>
      <c r="T7" s="46"/>
      <c r="U7" s="46"/>
    </row>
    <row r="8" spans="1:21" x14ac:dyDescent="0.15">
      <c r="A8" s="7">
        <v>2</v>
      </c>
      <c r="B8" s="7">
        <v>251</v>
      </c>
      <c r="C8" s="7">
        <v>286</v>
      </c>
      <c r="D8" s="7">
        <v>346</v>
      </c>
      <c r="H8" s="13"/>
      <c r="M8" s="16"/>
      <c r="N8" s="80">
        <v>3</v>
      </c>
      <c r="O8" s="80">
        <v>240</v>
      </c>
      <c r="P8" s="80">
        <v>295</v>
      </c>
      <c r="Q8" s="80">
        <v>307</v>
      </c>
      <c r="R8" s="16"/>
      <c r="S8" s="81" t="s">
        <v>17</v>
      </c>
      <c r="T8" s="81" t="s">
        <v>59</v>
      </c>
      <c r="U8" s="81" t="s">
        <v>58</v>
      </c>
    </row>
    <row r="9" spans="1:21" x14ac:dyDescent="0.15">
      <c r="A9" s="7">
        <v>3</v>
      </c>
      <c r="B9" s="7">
        <v>240</v>
      </c>
      <c r="C9" s="7">
        <v>295</v>
      </c>
      <c r="D9" s="7">
        <v>307</v>
      </c>
      <c r="M9" s="16"/>
      <c r="N9" s="80">
        <v>4</v>
      </c>
      <c r="O9" s="80">
        <v>287</v>
      </c>
      <c r="P9" s="80">
        <v>294</v>
      </c>
      <c r="Q9" s="80">
        <v>346</v>
      </c>
      <c r="R9" s="16"/>
      <c r="S9" s="80">
        <v>2012</v>
      </c>
      <c r="T9" s="82">
        <f>O34</f>
        <v>248.71428571428572</v>
      </c>
      <c r="U9" s="82">
        <f>O35</f>
        <v>22.541906887784936</v>
      </c>
    </row>
    <row r="10" spans="1:21" x14ac:dyDescent="0.15">
      <c r="A10" s="7">
        <v>4</v>
      </c>
      <c r="B10" s="7">
        <v>287</v>
      </c>
      <c r="C10" s="7">
        <v>294</v>
      </c>
      <c r="D10" s="7">
        <v>346</v>
      </c>
      <c r="M10" s="16"/>
      <c r="N10" s="80">
        <v>5</v>
      </c>
      <c r="O10" s="80">
        <v>218</v>
      </c>
      <c r="P10" s="80">
        <v>273</v>
      </c>
      <c r="Q10" s="80">
        <v>313</v>
      </c>
      <c r="R10" s="16"/>
      <c r="S10" s="80">
        <v>2013</v>
      </c>
      <c r="T10" s="82">
        <f>P34</f>
        <v>288.42857142857144</v>
      </c>
      <c r="U10" s="82">
        <f>P35</f>
        <v>12.151599716143371</v>
      </c>
    </row>
    <row r="11" spans="1:21" x14ac:dyDescent="0.15">
      <c r="A11" s="7">
        <v>5</v>
      </c>
      <c r="B11" s="7">
        <v>218</v>
      </c>
      <c r="C11" s="7">
        <v>273</v>
      </c>
      <c r="D11" s="7">
        <v>313</v>
      </c>
      <c r="F11" s="7"/>
      <c r="G11" s="7"/>
      <c r="H11" s="7"/>
      <c r="I11" s="12"/>
      <c r="M11" s="16"/>
      <c r="N11" s="80">
        <v>6</v>
      </c>
      <c r="O11" s="80">
        <v>253</v>
      </c>
      <c r="P11" s="80">
        <v>264</v>
      </c>
      <c r="Q11" s="80">
        <v>346</v>
      </c>
      <c r="R11" s="16"/>
      <c r="S11" s="80">
        <v>2014</v>
      </c>
      <c r="T11" s="82">
        <f>Q34</f>
        <v>338.57142857142856</v>
      </c>
      <c r="U11" s="82">
        <f>Q35</f>
        <v>20.199795692821894</v>
      </c>
    </row>
    <row r="12" spans="1:21" x14ac:dyDescent="0.15">
      <c r="A12" s="7">
        <v>6</v>
      </c>
      <c r="B12" s="7">
        <v>253</v>
      </c>
      <c r="C12" s="7">
        <v>264</v>
      </c>
      <c r="D12" s="7">
        <v>346</v>
      </c>
      <c r="F12" s="7"/>
      <c r="G12" s="7"/>
      <c r="H12" s="7"/>
      <c r="I12" s="12"/>
      <c r="M12" s="16"/>
      <c r="N12" s="80">
        <v>7</v>
      </c>
      <c r="O12" s="80">
        <v>229</v>
      </c>
      <c r="P12" s="80">
        <v>302</v>
      </c>
      <c r="Q12" s="80">
        <v>381</v>
      </c>
      <c r="R12" s="16"/>
      <c r="S12" s="83">
        <v>2015</v>
      </c>
      <c r="T12" s="84">
        <f>T11*1.05</f>
        <v>355.5</v>
      </c>
      <c r="U12" s="84">
        <f>AVERAGE(O35:Q35)</f>
        <v>18.297767432250065</v>
      </c>
    </row>
    <row r="13" spans="1:21" x14ac:dyDescent="0.15">
      <c r="A13" s="7">
        <v>7</v>
      </c>
      <c r="B13" s="7">
        <v>229</v>
      </c>
      <c r="C13" s="7">
        <v>302</v>
      </c>
      <c r="D13" s="7">
        <v>381</v>
      </c>
      <c r="H13" s="7"/>
      <c r="I13" s="12"/>
      <c r="M13" s="16"/>
      <c r="N13" s="80">
        <v>8</v>
      </c>
      <c r="O13" s="80">
        <v>257</v>
      </c>
      <c r="P13" s="80">
        <v>277</v>
      </c>
      <c r="Q13" s="80">
        <v>319</v>
      </c>
      <c r="R13" s="16"/>
      <c r="S13" s="16"/>
      <c r="T13" s="16"/>
      <c r="U13" s="16"/>
    </row>
    <row r="14" spans="1:21" x14ac:dyDescent="0.15">
      <c r="A14" s="7">
        <v>8</v>
      </c>
      <c r="B14" s="7">
        <v>257</v>
      </c>
      <c r="C14" s="7">
        <v>277</v>
      </c>
      <c r="D14" s="7">
        <v>319</v>
      </c>
      <c r="H14" s="7"/>
      <c r="I14" s="12"/>
      <c r="M14" s="16"/>
      <c r="N14" s="80">
        <v>9</v>
      </c>
      <c r="O14" s="80">
        <v>241</v>
      </c>
      <c r="P14" s="80">
        <v>303</v>
      </c>
      <c r="Q14" s="80">
        <v>294</v>
      </c>
      <c r="R14" s="16"/>
      <c r="S14" s="16"/>
      <c r="T14" s="16"/>
      <c r="U14" s="16"/>
    </row>
    <row r="15" spans="1:21" x14ac:dyDescent="0.15">
      <c r="A15" s="7">
        <v>9</v>
      </c>
      <c r="B15" s="7">
        <v>241</v>
      </c>
      <c r="C15" s="7">
        <v>303</v>
      </c>
      <c r="D15" s="7">
        <v>294</v>
      </c>
      <c r="M15" s="16"/>
      <c r="N15" s="80">
        <v>10</v>
      </c>
      <c r="O15" s="80">
        <v>268</v>
      </c>
      <c r="P15" s="80">
        <v>296</v>
      </c>
      <c r="Q15" s="80">
        <v>344</v>
      </c>
      <c r="R15" s="16"/>
      <c r="S15" s="16"/>
      <c r="T15" s="16"/>
      <c r="U15" s="16"/>
    </row>
    <row r="16" spans="1:21" x14ac:dyDescent="0.15">
      <c r="A16" s="7">
        <v>10</v>
      </c>
      <c r="B16" s="7">
        <v>268</v>
      </c>
      <c r="C16" s="7">
        <v>296</v>
      </c>
      <c r="D16" s="7">
        <v>344</v>
      </c>
      <c r="H16" s="2"/>
      <c r="M16" s="16"/>
      <c r="N16" s="80">
        <v>11</v>
      </c>
      <c r="O16" s="80">
        <v>226</v>
      </c>
      <c r="P16" s="80">
        <v>296</v>
      </c>
      <c r="Q16" s="80">
        <v>347</v>
      </c>
      <c r="R16" s="16"/>
      <c r="S16" s="16"/>
      <c r="T16" s="16"/>
      <c r="U16" s="16"/>
    </row>
    <row r="17" spans="1:21" x14ac:dyDescent="0.15">
      <c r="A17" s="7">
        <v>11</v>
      </c>
      <c r="B17" s="7">
        <v>226</v>
      </c>
      <c r="C17" s="7">
        <v>296</v>
      </c>
      <c r="D17" s="7">
        <v>347</v>
      </c>
      <c r="M17" s="16"/>
      <c r="N17" s="80">
        <v>12</v>
      </c>
      <c r="O17" s="80">
        <v>241</v>
      </c>
      <c r="P17" s="80">
        <v>278</v>
      </c>
      <c r="Q17" s="80">
        <v>319</v>
      </c>
      <c r="R17" s="16"/>
      <c r="S17" s="16"/>
      <c r="T17" s="16"/>
      <c r="U17" s="16"/>
    </row>
    <row r="18" spans="1:21" x14ac:dyDescent="0.15">
      <c r="A18" s="7">
        <v>12</v>
      </c>
      <c r="B18" s="7">
        <v>241</v>
      </c>
      <c r="C18" s="7">
        <v>278</v>
      </c>
      <c r="D18" s="7">
        <v>319</v>
      </c>
      <c r="M18" s="16"/>
      <c r="N18" s="80">
        <v>13</v>
      </c>
      <c r="O18" s="80">
        <v>275</v>
      </c>
      <c r="P18" s="80">
        <v>282</v>
      </c>
      <c r="Q18" s="80">
        <v>359</v>
      </c>
      <c r="R18" s="16"/>
      <c r="S18" s="16"/>
      <c r="T18" s="16"/>
      <c r="U18" s="16"/>
    </row>
    <row r="19" spans="1:21" x14ac:dyDescent="0.15">
      <c r="A19" s="7">
        <v>13</v>
      </c>
      <c r="B19" s="7">
        <v>275</v>
      </c>
      <c r="C19" s="7">
        <v>282</v>
      </c>
      <c r="D19" s="7">
        <v>359</v>
      </c>
      <c r="M19" s="16"/>
      <c r="N19" s="80">
        <v>14</v>
      </c>
      <c r="O19" s="80">
        <v>242</v>
      </c>
      <c r="P19" s="80">
        <v>274</v>
      </c>
      <c r="Q19" s="80">
        <v>346</v>
      </c>
      <c r="R19" s="16"/>
      <c r="S19" s="16"/>
      <c r="T19" s="16"/>
      <c r="U19" s="16"/>
    </row>
    <row r="20" spans="1:21" x14ac:dyDescent="0.15">
      <c r="A20" s="7">
        <v>14</v>
      </c>
      <c r="B20" s="7">
        <v>242</v>
      </c>
      <c r="C20" s="7">
        <v>274</v>
      </c>
      <c r="D20" s="7">
        <v>346</v>
      </c>
      <c r="M20" s="16"/>
      <c r="N20" s="80">
        <v>15</v>
      </c>
      <c r="O20" s="80">
        <v>269</v>
      </c>
      <c r="P20" s="80">
        <v>295</v>
      </c>
      <c r="Q20" s="80">
        <v>333</v>
      </c>
      <c r="R20" s="16"/>
      <c r="S20" s="16"/>
      <c r="T20" s="16"/>
      <c r="U20" s="16"/>
    </row>
    <row r="21" spans="1:21" x14ac:dyDescent="0.15">
      <c r="A21" s="7">
        <v>15</v>
      </c>
      <c r="B21" s="7">
        <v>269</v>
      </c>
      <c r="C21" s="7">
        <v>295</v>
      </c>
      <c r="D21" s="7">
        <v>333</v>
      </c>
      <c r="M21" s="16"/>
      <c r="N21" s="80">
        <v>16</v>
      </c>
      <c r="O21" s="80">
        <v>261</v>
      </c>
      <c r="P21" s="80">
        <v>312</v>
      </c>
      <c r="Q21" s="80">
        <v>339</v>
      </c>
      <c r="R21" s="16"/>
      <c r="S21" s="16"/>
      <c r="T21" s="16"/>
      <c r="U21" s="16"/>
    </row>
    <row r="22" spans="1:21" x14ac:dyDescent="0.15">
      <c r="A22" s="7">
        <v>16</v>
      </c>
      <c r="B22" s="7">
        <v>261</v>
      </c>
      <c r="C22" s="7">
        <v>312</v>
      </c>
      <c r="D22" s="7">
        <v>339</v>
      </c>
      <c r="M22" s="16"/>
      <c r="N22" s="80">
        <v>17</v>
      </c>
      <c r="O22" s="80">
        <v>267</v>
      </c>
      <c r="P22" s="80">
        <v>297</v>
      </c>
      <c r="Q22" s="80">
        <v>322</v>
      </c>
      <c r="R22" s="16"/>
      <c r="S22" s="16"/>
      <c r="T22" s="16"/>
      <c r="U22" s="16"/>
    </row>
    <row r="23" spans="1:21" x14ac:dyDescent="0.15">
      <c r="A23" s="7">
        <v>17</v>
      </c>
      <c r="B23" s="7">
        <v>267</v>
      </c>
      <c r="C23" s="7">
        <v>297</v>
      </c>
      <c r="D23" s="7">
        <v>322</v>
      </c>
      <c r="M23" s="16"/>
      <c r="N23" s="80">
        <v>18</v>
      </c>
      <c r="O23" s="80">
        <v>227</v>
      </c>
      <c r="P23" s="80">
        <v>272</v>
      </c>
      <c r="Q23" s="80">
        <v>370</v>
      </c>
      <c r="R23" s="16"/>
      <c r="S23" s="16"/>
      <c r="T23" s="16"/>
      <c r="U23" s="16"/>
    </row>
    <row r="24" spans="1:21" x14ac:dyDescent="0.15">
      <c r="A24" s="7">
        <v>18</v>
      </c>
      <c r="B24" s="7">
        <v>227</v>
      </c>
      <c r="C24" s="7">
        <v>272</v>
      </c>
      <c r="D24" s="7">
        <v>370</v>
      </c>
      <c r="M24" s="16"/>
      <c r="N24" s="80">
        <v>19</v>
      </c>
      <c r="O24" s="80">
        <v>225</v>
      </c>
      <c r="P24" s="80">
        <v>279</v>
      </c>
      <c r="Q24" s="80">
        <v>346</v>
      </c>
      <c r="R24" s="16"/>
      <c r="S24" s="16"/>
      <c r="T24" s="16"/>
      <c r="U24" s="16"/>
    </row>
    <row r="25" spans="1:21" x14ac:dyDescent="0.15">
      <c r="A25" s="7">
        <v>19</v>
      </c>
      <c r="B25" s="7">
        <v>225</v>
      </c>
      <c r="C25" s="7">
        <v>279</v>
      </c>
      <c r="D25" s="7">
        <v>346</v>
      </c>
      <c r="M25" s="16"/>
      <c r="N25" s="80">
        <v>20</v>
      </c>
      <c r="O25" s="80">
        <v>221</v>
      </c>
      <c r="P25" s="80">
        <v>283</v>
      </c>
      <c r="Q25" s="80">
        <v>330</v>
      </c>
      <c r="R25" s="16"/>
      <c r="S25" s="16"/>
      <c r="T25" s="16"/>
      <c r="U25" s="16"/>
    </row>
    <row r="26" spans="1:21" x14ac:dyDescent="0.15">
      <c r="A26" s="7">
        <v>20</v>
      </c>
      <c r="B26" s="7">
        <v>221</v>
      </c>
      <c r="C26" s="7">
        <v>283</v>
      </c>
      <c r="D26" s="7">
        <v>330</v>
      </c>
      <c r="M26" s="16"/>
      <c r="N26" s="80">
        <v>21</v>
      </c>
      <c r="O26" s="80">
        <v>256</v>
      </c>
      <c r="P26" s="80">
        <v>287</v>
      </c>
      <c r="Q26" s="80">
        <v>335</v>
      </c>
      <c r="R26" s="16"/>
      <c r="S26" s="16"/>
      <c r="T26" s="16"/>
      <c r="U26" s="16"/>
    </row>
    <row r="27" spans="1:21" x14ac:dyDescent="0.15">
      <c r="A27" s="7">
        <v>21</v>
      </c>
      <c r="B27" s="7">
        <v>256</v>
      </c>
      <c r="C27" s="7">
        <v>287</v>
      </c>
      <c r="D27" s="7">
        <v>335</v>
      </c>
      <c r="M27" s="16"/>
      <c r="N27" s="80">
        <v>22</v>
      </c>
      <c r="O27" s="80">
        <v>217</v>
      </c>
      <c r="P27" s="80">
        <v>282</v>
      </c>
      <c r="Q27" s="80">
        <v>341</v>
      </c>
      <c r="R27" s="16"/>
      <c r="S27" s="16"/>
      <c r="T27" s="16"/>
      <c r="U27" s="16"/>
    </row>
    <row r="28" spans="1:21" x14ac:dyDescent="0.15">
      <c r="A28" s="7">
        <v>22</v>
      </c>
      <c r="B28" s="7">
        <v>217</v>
      </c>
      <c r="C28" s="7">
        <v>282</v>
      </c>
      <c r="D28" s="7">
        <v>341</v>
      </c>
      <c r="M28" s="16"/>
      <c r="N28" s="80">
        <v>23</v>
      </c>
      <c r="O28" s="80">
        <v>229</v>
      </c>
      <c r="P28" s="80">
        <v>275</v>
      </c>
      <c r="Q28" s="80">
        <v>336</v>
      </c>
      <c r="R28" s="16"/>
      <c r="S28" s="16"/>
      <c r="T28" s="16"/>
      <c r="U28" s="16"/>
    </row>
    <row r="29" spans="1:21" x14ac:dyDescent="0.15">
      <c r="A29" s="7">
        <v>23</v>
      </c>
      <c r="B29" s="7">
        <v>229</v>
      </c>
      <c r="C29" s="7">
        <v>275</v>
      </c>
      <c r="D29" s="7">
        <v>336</v>
      </c>
      <c r="M29" s="16"/>
      <c r="N29" s="80">
        <v>24</v>
      </c>
      <c r="O29" s="80">
        <v>222</v>
      </c>
      <c r="P29" s="80">
        <v>298</v>
      </c>
      <c r="Q29" s="80">
        <v>324</v>
      </c>
      <c r="R29" s="16"/>
      <c r="S29" s="16"/>
      <c r="T29" s="16"/>
      <c r="U29" s="16"/>
    </row>
    <row r="30" spans="1:21" x14ac:dyDescent="0.15">
      <c r="A30" s="7">
        <v>24</v>
      </c>
      <c r="B30" s="7">
        <v>222</v>
      </c>
      <c r="C30" s="7">
        <v>298</v>
      </c>
      <c r="D30" s="7">
        <v>324</v>
      </c>
      <c r="M30" s="16"/>
      <c r="N30" s="80">
        <v>47</v>
      </c>
      <c r="O30" s="80">
        <v>243</v>
      </c>
      <c r="P30" s="80">
        <v>302</v>
      </c>
      <c r="Q30" s="80">
        <v>329</v>
      </c>
      <c r="R30" s="16"/>
      <c r="S30" s="16"/>
      <c r="T30" s="16"/>
      <c r="U30" s="16"/>
    </row>
    <row r="31" spans="1:21" x14ac:dyDescent="0.15">
      <c r="A31" s="7">
        <v>25</v>
      </c>
      <c r="B31" s="7">
        <v>433</v>
      </c>
      <c r="C31" s="7">
        <v>479</v>
      </c>
      <c r="D31" s="7">
        <v>568</v>
      </c>
      <c r="M31" s="16"/>
      <c r="N31" s="80">
        <v>48</v>
      </c>
      <c r="O31" s="80">
        <v>298</v>
      </c>
      <c r="P31" s="80">
        <v>308</v>
      </c>
      <c r="Q31" s="80">
        <v>368</v>
      </c>
      <c r="R31" s="16"/>
      <c r="S31" s="16"/>
      <c r="T31" s="16"/>
      <c r="U31" s="16"/>
    </row>
    <row r="32" spans="1:21" x14ac:dyDescent="0.15">
      <c r="A32" s="7">
        <v>26</v>
      </c>
      <c r="B32" s="7">
        <v>410</v>
      </c>
      <c r="C32" s="7">
        <v>487</v>
      </c>
      <c r="D32" s="7">
        <v>576</v>
      </c>
      <c r="M32" s="16"/>
      <c r="N32" s="80">
        <v>49</v>
      </c>
      <c r="O32" s="80">
        <v>288</v>
      </c>
      <c r="P32" s="80">
        <v>297</v>
      </c>
      <c r="Q32" s="80">
        <v>373</v>
      </c>
      <c r="R32" s="16"/>
      <c r="S32" s="16"/>
      <c r="T32" s="16"/>
      <c r="U32" s="16"/>
    </row>
    <row r="33" spans="1:21" x14ac:dyDescent="0.15">
      <c r="A33" s="7">
        <v>27</v>
      </c>
      <c r="B33" s="7">
        <v>407</v>
      </c>
      <c r="C33" s="7">
        <v>477</v>
      </c>
      <c r="D33" s="7">
        <v>585</v>
      </c>
      <c r="M33" s="16"/>
      <c r="N33" s="80">
        <v>50</v>
      </c>
      <c r="O33" s="80">
        <v>260</v>
      </c>
      <c r="P33" s="80">
        <v>288</v>
      </c>
      <c r="Q33" s="80">
        <v>344</v>
      </c>
      <c r="R33" s="16"/>
      <c r="S33" s="16"/>
      <c r="T33" s="16"/>
      <c r="U33" s="16"/>
    </row>
    <row r="34" spans="1:21" x14ac:dyDescent="0.15">
      <c r="A34" s="7">
        <v>28</v>
      </c>
      <c r="B34" s="7">
        <v>418</v>
      </c>
      <c r="C34" s="7">
        <v>485</v>
      </c>
      <c r="D34" s="7">
        <v>557</v>
      </c>
      <c r="M34" s="16"/>
      <c r="N34" s="85" t="s">
        <v>12</v>
      </c>
      <c r="O34" s="86">
        <f>AVERAGE(O6:O33)</f>
        <v>248.71428571428572</v>
      </c>
      <c r="P34" s="86">
        <f>AVERAGE(P6:P33)</f>
        <v>288.42857142857144</v>
      </c>
      <c r="Q34" s="86">
        <f>AVERAGE(Q6:Q33)</f>
        <v>338.57142857142856</v>
      </c>
      <c r="R34" s="16"/>
      <c r="S34" s="16"/>
      <c r="T34" s="16"/>
      <c r="U34" s="16"/>
    </row>
    <row r="35" spans="1:21" x14ac:dyDescent="0.15">
      <c r="A35" s="7">
        <v>29</v>
      </c>
      <c r="B35" s="7">
        <v>429</v>
      </c>
      <c r="C35" s="7">
        <v>489</v>
      </c>
      <c r="D35" s="7">
        <v>589</v>
      </c>
      <c r="M35" s="16"/>
      <c r="N35" s="85" t="s">
        <v>13</v>
      </c>
      <c r="O35" s="86">
        <f>STDEV(O6:O33)</f>
        <v>22.541906887784936</v>
      </c>
      <c r="P35" s="86">
        <f>STDEV(P6:P33)</f>
        <v>12.151599716143371</v>
      </c>
      <c r="Q35" s="86">
        <f>STDEV(Q6:Q33)</f>
        <v>20.199795692821894</v>
      </c>
      <c r="R35" s="16"/>
      <c r="S35" s="16"/>
      <c r="T35" s="16"/>
      <c r="U35" s="16"/>
    </row>
    <row r="36" spans="1:21" x14ac:dyDescent="0.15">
      <c r="A36" s="7">
        <v>30</v>
      </c>
      <c r="B36" s="7">
        <v>423</v>
      </c>
      <c r="C36" s="7">
        <v>501</v>
      </c>
      <c r="D36" s="7">
        <v>573</v>
      </c>
      <c r="M36" s="16"/>
      <c r="N36" s="85" t="s">
        <v>14</v>
      </c>
      <c r="O36" s="80">
        <f>MAX(O6:O33)</f>
        <v>298</v>
      </c>
      <c r="P36" s="80">
        <f>MAX(P6:P33)</f>
        <v>312</v>
      </c>
      <c r="Q36" s="80">
        <f>MAX(Q6:Q33)</f>
        <v>381</v>
      </c>
      <c r="R36" s="16"/>
      <c r="S36" s="16"/>
      <c r="T36" s="16"/>
      <c r="U36" s="16"/>
    </row>
    <row r="37" spans="1:21" x14ac:dyDescent="0.15">
      <c r="A37" s="7">
        <v>31</v>
      </c>
      <c r="B37" s="7">
        <v>464</v>
      </c>
      <c r="C37" s="7">
        <v>493</v>
      </c>
      <c r="D37" s="7">
        <v>603</v>
      </c>
      <c r="M37" s="16"/>
      <c r="N37" s="85" t="s">
        <v>15</v>
      </c>
      <c r="O37" s="80">
        <f>MIN(O6:O33)</f>
        <v>217</v>
      </c>
      <c r="P37" s="80">
        <f>MIN(P6:P33)</f>
        <v>264</v>
      </c>
      <c r="Q37" s="80">
        <f>MIN(Q6:Q33)</f>
        <v>294</v>
      </c>
      <c r="R37" s="16"/>
      <c r="S37" s="16"/>
      <c r="T37" s="16"/>
      <c r="U37" s="16"/>
    </row>
    <row r="38" spans="1:21" x14ac:dyDescent="0.15">
      <c r="A38" s="7">
        <v>32</v>
      </c>
      <c r="B38" s="7">
        <v>415</v>
      </c>
      <c r="C38" s="7">
        <v>514</v>
      </c>
      <c r="D38" s="7">
        <v>565</v>
      </c>
      <c r="M38" s="16"/>
      <c r="N38" s="16"/>
      <c r="O38" s="16"/>
      <c r="P38" s="16"/>
      <c r="Q38" s="16"/>
      <c r="R38" s="16"/>
      <c r="S38" s="16"/>
      <c r="T38" s="16"/>
      <c r="U38" s="16"/>
    </row>
    <row r="39" spans="1:21" x14ac:dyDescent="0.15">
      <c r="A39" s="7">
        <v>33</v>
      </c>
      <c r="B39" s="7">
        <v>397</v>
      </c>
      <c r="C39" s="7">
        <v>478</v>
      </c>
      <c r="D39" s="7">
        <v>556</v>
      </c>
      <c r="M39" s="87"/>
      <c r="N39" s="88" t="s">
        <v>5</v>
      </c>
      <c r="O39" s="89">
        <v>2012</v>
      </c>
      <c r="P39" s="89">
        <v>2013</v>
      </c>
      <c r="Q39" s="89">
        <v>2014</v>
      </c>
      <c r="R39" s="46"/>
      <c r="S39" s="97" t="s">
        <v>18</v>
      </c>
      <c r="T39" s="46"/>
      <c r="U39" s="46"/>
    </row>
    <row r="40" spans="1:21" x14ac:dyDescent="0.15">
      <c r="A40" s="7">
        <v>34</v>
      </c>
      <c r="B40" s="7">
        <v>448</v>
      </c>
      <c r="C40" s="7">
        <v>500</v>
      </c>
      <c r="D40" s="7">
        <v>579</v>
      </c>
      <c r="M40" s="87"/>
      <c r="N40" s="90">
        <v>25</v>
      </c>
      <c r="O40" s="90">
        <v>433</v>
      </c>
      <c r="P40" s="90">
        <v>479</v>
      </c>
      <c r="Q40" s="90">
        <v>568</v>
      </c>
      <c r="R40" s="87"/>
      <c r="S40" s="91" t="s">
        <v>17</v>
      </c>
      <c r="T40" s="91" t="s">
        <v>59</v>
      </c>
      <c r="U40" s="91" t="s">
        <v>58</v>
      </c>
    </row>
    <row r="41" spans="1:21" x14ac:dyDescent="0.15">
      <c r="A41" s="7">
        <v>35</v>
      </c>
      <c r="B41" s="7">
        <v>413</v>
      </c>
      <c r="C41" s="7">
        <v>494</v>
      </c>
      <c r="D41" s="7">
        <v>552</v>
      </c>
      <c r="M41" s="87"/>
      <c r="N41" s="90">
        <v>26</v>
      </c>
      <c r="O41" s="90">
        <v>410</v>
      </c>
      <c r="P41" s="90">
        <v>487</v>
      </c>
      <c r="Q41" s="90">
        <v>576</v>
      </c>
      <c r="R41" s="87"/>
      <c r="S41" s="90">
        <v>2012</v>
      </c>
      <c r="T41" s="92">
        <f>O64</f>
        <v>422.31818181818181</v>
      </c>
      <c r="U41" s="92">
        <f>O65</f>
        <v>18.148557239354588</v>
      </c>
    </row>
    <row r="42" spans="1:21" x14ac:dyDescent="0.15">
      <c r="A42" s="7">
        <v>36</v>
      </c>
      <c r="B42" s="7">
        <v>424</v>
      </c>
      <c r="C42" s="7">
        <v>461</v>
      </c>
      <c r="D42" s="7">
        <v>582</v>
      </c>
      <c r="M42" s="87"/>
      <c r="N42" s="90">
        <v>27</v>
      </c>
      <c r="O42" s="90">
        <v>407</v>
      </c>
      <c r="P42" s="90">
        <v>477</v>
      </c>
      <c r="Q42" s="90">
        <v>585</v>
      </c>
      <c r="R42" s="87"/>
      <c r="S42" s="90">
        <v>2013</v>
      </c>
      <c r="T42" s="92">
        <f>P64</f>
        <v>486.86363636363637</v>
      </c>
      <c r="U42" s="92">
        <f>P65</f>
        <v>16.39481757416176</v>
      </c>
    </row>
    <row r="43" spans="1:21" x14ac:dyDescent="0.15">
      <c r="A43" s="7">
        <v>37</v>
      </c>
      <c r="B43" s="7">
        <v>464</v>
      </c>
      <c r="C43" s="7">
        <v>475</v>
      </c>
      <c r="D43" s="7">
        <v>544</v>
      </c>
      <c r="M43" s="87"/>
      <c r="N43" s="90">
        <v>28</v>
      </c>
      <c r="O43" s="90">
        <v>418</v>
      </c>
      <c r="P43" s="90">
        <v>485</v>
      </c>
      <c r="Q43" s="90">
        <v>557</v>
      </c>
      <c r="R43" s="87"/>
      <c r="S43" s="90">
        <v>2014</v>
      </c>
      <c r="T43" s="92">
        <f>Q64</f>
        <v>572.63636363636363</v>
      </c>
      <c r="U43" s="92">
        <f>Q65</f>
        <v>17.464373135166603</v>
      </c>
    </row>
    <row r="44" spans="1:21" x14ac:dyDescent="0.15">
      <c r="A44" s="7">
        <v>38</v>
      </c>
      <c r="B44" s="7">
        <v>422</v>
      </c>
      <c r="C44" s="7">
        <v>490</v>
      </c>
      <c r="D44" s="7">
        <v>595</v>
      </c>
      <c r="M44" s="87"/>
      <c r="N44" s="90">
        <v>29</v>
      </c>
      <c r="O44" s="90">
        <v>429</v>
      </c>
      <c r="P44" s="90">
        <v>489</v>
      </c>
      <c r="Q44" s="90">
        <v>589</v>
      </c>
      <c r="R44" s="87"/>
      <c r="S44" s="93">
        <v>2015</v>
      </c>
      <c r="T44" s="94">
        <f>T43*1.05</f>
        <v>601.2681818181818</v>
      </c>
      <c r="U44" s="94">
        <f>AVERAGE(U41:U43)</f>
        <v>17.335915982894317</v>
      </c>
    </row>
    <row r="45" spans="1:21" x14ac:dyDescent="0.15">
      <c r="A45" s="7">
        <v>39</v>
      </c>
      <c r="B45" s="7">
        <v>412</v>
      </c>
      <c r="C45" s="7">
        <v>524</v>
      </c>
      <c r="D45" s="7">
        <v>558</v>
      </c>
      <c r="M45" s="87"/>
      <c r="N45" s="90">
        <v>30</v>
      </c>
      <c r="O45" s="90">
        <v>423</v>
      </c>
      <c r="P45" s="90">
        <v>501</v>
      </c>
      <c r="Q45" s="90">
        <v>573</v>
      </c>
      <c r="R45" s="87"/>
      <c r="S45" s="87"/>
      <c r="T45" s="87"/>
      <c r="U45" s="87"/>
    </row>
    <row r="46" spans="1:21" x14ac:dyDescent="0.15">
      <c r="A46" s="7">
        <v>40</v>
      </c>
      <c r="B46" s="7">
        <v>408</v>
      </c>
      <c r="C46" s="7">
        <v>463</v>
      </c>
      <c r="D46" s="7">
        <v>561</v>
      </c>
      <c r="M46" s="87"/>
      <c r="N46" s="90">
        <v>31</v>
      </c>
      <c r="O46" s="90">
        <v>464</v>
      </c>
      <c r="P46" s="90">
        <v>493</v>
      </c>
      <c r="Q46" s="90">
        <v>603</v>
      </c>
      <c r="R46" s="87"/>
      <c r="S46" s="87"/>
      <c r="T46" s="87"/>
      <c r="U46" s="87"/>
    </row>
    <row r="47" spans="1:21" x14ac:dyDescent="0.15">
      <c r="A47" s="7">
        <v>41</v>
      </c>
      <c r="B47" s="7">
        <v>428</v>
      </c>
      <c r="C47" s="7">
        <v>500</v>
      </c>
      <c r="D47" s="7">
        <v>590</v>
      </c>
      <c r="M47" s="87"/>
      <c r="N47" s="90">
        <v>32</v>
      </c>
      <c r="O47" s="90">
        <v>415</v>
      </c>
      <c r="P47" s="90">
        <v>514</v>
      </c>
      <c r="Q47" s="90">
        <v>565</v>
      </c>
      <c r="R47" s="87"/>
      <c r="S47" s="87"/>
      <c r="T47" s="87"/>
      <c r="U47" s="87"/>
    </row>
    <row r="48" spans="1:21" x14ac:dyDescent="0.15">
      <c r="A48" s="7">
        <v>42</v>
      </c>
      <c r="B48" s="7">
        <v>409</v>
      </c>
      <c r="C48" s="7">
        <v>477</v>
      </c>
      <c r="D48" s="7">
        <v>541</v>
      </c>
      <c r="M48" s="87"/>
      <c r="N48" s="90">
        <v>33</v>
      </c>
      <c r="O48" s="90">
        <v>397</v>
      </c>
      <c r="P48" s="90">
        <v>478</v>
      </c>
      <c r="Q48" s="90">
        <v>556</v>
      </c>
      <c r="R48" s="87"/>
      <c r="S48" s="87"/>
      <c r="T48" s="87"/>
      <c r="U48" s="87"/>
    </row>
    <row r="49" spans="1:21" x14ac:dyDescent="0.15">
      <c r="A49" s="7">
        <v>43</v>
      </c>
      <c r="B49" s="7">
        <v>417</v>
      </c>
      <c r="C49" s="7">
        <v>487</v>
      </c>
      <c r="D49" s="7">
        <v>592</v>
      </c>
      <c r="M49" s="87"/>
      <c r="N49" s="90">
        <v>34</v>
      </c>
      <c r="O49" s="90">
        <v>448</v>
      </c>
      <c r="P49" s="90">
        <v>500</v>
      </c>
      <c r="Q49" s="90">
        <v>579</v>
      </c>
      <c r="R49" s="87"/>
      <c r="S49" s="87"/>
      <c r="T49" s="87"/>
      <c r="U49" s="87"/>
    </row>
    <row r="50" spans="1:21" x14ac:dyDescent="0.15">
      <c r="A50" s="7">
        <v>44</v>
      </c>
      <c r="B50" s="7">
        <v>410</v>
      </c>
      <c r="C50" s="7">
        <v>496</v>
      </c>
      <c r="D50" s="7">
        <v>582</v>
      </c>
      <c r="M50" s="87"/>
      <c r="N50" s="90">
        <v>35</v>
      </c>
      <c r="O50" s="90">
        <v>413</v>
      </c>
      <c r="P50" s="90">
        <v>494</v>
      </c>
      <c r="Q50" s="90">
        <v>552</v>
      </c>
      <c r="R50" s="87"/>
      <c r="S50" s="87"/>
      <c r="T50" s="87"/>
      <c r="U50" s="87"/>
    </row>
    <row r="51" spans="1:21" x14ac:dyDescent="0.15">
      <c r="A51" s="7">
        <v>45</v>
      </c>
      <c r="B51" s="7">
        <v>439</v>
      </c>
      <c r="C51" s="7">
        <v>487</v>
      </c>
      <c r="D51" s="7">
        <v>560</v>
      </c>
      <c r="M51" s="87"/>
      <c r="N51" s="90">
        <v>36</v>
      </c>
      <c r="O51" s="90">
        <v>424</v>
      </c>
      <c r="P51" s="90">
        <v>461</v>
      </c>
      <c r="Q51" s="90">
        <v>582</v>
      </c>
      <c r="R51" s="87"/>
      <c r="S51" s="87"/>
      <c r="T51" s="87"/>
      <c r="U51" s="87"/>
    </row>
    <row r="52" spans="1:21" x14ac:dyDescent="0.15">
      <c r="A52" s="7">
        <v>46</v>
      </c>
      <c r="B52" s="7">
        <v>401</v>
      </c>
      <c r="C52" s="7">
        <v>454</v>
      </c>
      <c r="D52" s="7">
        <v>590</v>
      </c>
      <c r="M52" s="87"/>
      <c r="N52" s="90">
        <v>37</v>
      </c>
      <c r="O52" s="90">
        <v>464</v>
      </c>
      <c r="P52" s="90">
        <v>475</v>
      </c>
      <c r="Q52" s="90">
        <v>544</v>
      </c>
      <c r="R52" s="87"/>
      <c r="S52" s="87"/>
      <c r="T52" s="87"/>
      <c r="U52" s="87"/>
    </row>
    <row r="53" spans="1:21" x14ac:dyDescent="0.15">
      <c r="A53" s="7">
        <v>47</v>
      </c>
      <c r="B53" s="7">
        <v>243</v>
      </c>
      <c r="C53" s="7">
        <v>302</v>
      </c>
      <c r="D53" s="7">
        <v>329</v>
      </c>
      <c r="M53" s="87"/>
      <c r="N53" s="90">
        <v>38</v>
      </c>
      <c r="O53" s="90">
        <v>422</v>
      </c>
      <c r="P53" s="90">
        <v>490</v>
      </c>
      <c r="Q53" s="90">
        <v>595</v>
      </c>
      <c r="R53" s="87"/>
      <c r="S53" s="87"/>
      <c r="T53" s="87"/>
      <c r="U53" s="87"/>
    </row>
    <row r="54" spans="1:21" x14ac:dyDescent="0.15">
      <c r="A54" s="7">
        <v>48</v>
      </c>
      <c r="B54" s="7">
        <v>298</v>
      </c>
      <c r="C54" s="7">
        <v>308</v>
      </c>
      <c r="D54" s="7">
        <v>368</v>
      </c>
      <c r="M54" s="87"/>
      <c r="N54" s="90">
        <v>39</v>
      </c>
      <c r="O54" s="90">
        <v>412</v>
      </c>
      <c r="P54" s="90">
        <v>524</v>
      </c>
      <c r="Q54" s="90">
        <v>558</v>
      </c>
      <c r="R54" s="87"/>
      <c r="S54" s="87"/>
      <c r="T54" s="87"/>
      <c r="U54" s="87"/>
    </row>
    <row r="55" spans="1:21" x14ac:dyDescent="0.15">
      <c r="A55" s="7">
        <v>49</v>
      </c>
      <c r="B55" s="7">
        <v>288</v>
      </c>
      <c r="C55" s="7">
        <v>297</v>
      </c>
      <c r="D55" s="7">
        <v>373</v>
      </c>
      <c r="M55" s="87"/>
      <c r="N55" s="90">
        <v>40</v>
      </c>
      <c r="O55" s="90">
        <v>408</v>
      </c>
      <c r="P55" s="90">
        <v>463</v>
      </c>
      <c r="Q55" s="90">
        <v>561</v>
      </c>
      <c r="R55" s="87"/>
      <c r="S55" s="87"/>
      <c r="T55" s="87"/>
      <c r="U55" s="87"/>
    </row>
    <row r="56" spans="1:21" x14ac:dyDescent="0.15">
      <c r="A56" s="7">
        <v>50</v>
      </c>
      <c r="B56" s="7">
        <v>260</v>
      </c>
      <c r="C56" s="7">
        <v>288</v>
      </c>
      <c r="D56" s="7">
        <v>344</v>
      </c>
      <c r="M56" s="87"/>
      <c r="N56" s="90">
        <v>41</v>
      </c>
      <c r="O56" s="90">
        <v>428</v>
      </c>
      <c r="P56" s="90">
        <v>500</v>
      </c>
      <c r="Q56" s="90">
        <v>590</v>
      </c>
      <c r="R56" s="87"/>
      <c r="S56" s="87"/>
      <c r="T56" s="87"/>
      <c r="U56" s="87"/>
    </row>
    <row r="57" spans="1:21" x14ac:dyDescent="0.15">
      <c r="A57" s="52" t="s">
        <v>6</v>
      </c>
      <c r="B57" s="52">
        <f>AVERAGE(B7:B56)</f>
        <v>325.10000000000002</v>
      </c>
      <c r="C57" s="52">
        <f t="shared" ref="C57:D57" si="0">AVERAGE(C7:C56)</f>
        <v>375.74</v>
      </c>
      <c r="D57" s="52">
        <f t="shared" si="0"/>
        <v>441.56</v>
      </c>
      <c r="M57" s="87"/>
      <c r="N57" s="90">
        <v>42</v>
      </c>
      <c r="O57" s="90">
        <v>409</v>
      </c>
      <c r="P57" s="90">
        <v>477</v>
      </c>
      <c r="Q57" s="90">
        <v>541</v>
      </c>
      <c r="R57" s="87"/>
      <c r="S57" s="87"/>
      <c r="T57" s="87"/>
      <c r="U57" s="87"/>
    </row>
    <row r="58" spans="1:21" x14ac:dyDescent="0.15">
      <c r="A58" s="52" t="s">
        <v>7</v>
      </c>
      <c r="B58" s="52">
        <f>STDEV(B7:B56)</f>
        <v>89.435930778886146</v>
      </c>
      <c r="C58" s="52">
        <f t="shared" ref="C58:D58" si="1">STDEV(C7:C56)</f>
        <v>100.48348630699556</v>
      </c>
      <c r="D58" s="52">
        <f t="shared" si="1"/>
        <v>118.87142084570857</v>
      </c>
      <c r="M58" s="87"/>
      <c r="N58" s="90">
        <v>43</v>
      </c>
      <c r="O58" s="90">
        <v>417</v>
      </c>
      <c r="P58" s="90">
        <v>487</v>
      </c>
      <c r="Q58" s="90">
        <v>592</v>
      </c>
      <c r="R58" s="87"/>
      <c r="S58" s="87"/>
      <c r="T58" s="87"/>
      <c r="U58" s="87"/>
    </row>
    <row r="59" spans="1:21" x14ac:dyDescent="0.15">
      <c r="M59" s="87"/>
      <c r="N59" s="90">
        <v>44</v>
      </c>
      <c r="O59" s="90">
        <v>410</v>
      </c>
      <c r="P59" s="90">
        <v>496</v>
      </c>
      <c r="Q59" s="90">
        <v>582</v>
      </c>
      <c r="R59" s="87"/>
      <c r="S59" s="87"/>
      <c r="T59" s="87"/>
      <c r="U59" s="87"/>
    </row>
    <row r="60" spans="1:21" x14ac:dyDescent="0.15">
      <c r="M60" s="87"/>
      <c r="N60" s="90">
        <v>45</v>
      </c>
      <c r="O60" s="90">
        <v>439</v>
      </c>
      <c r="P60" s="90">
        <v>487</v>
      </c>
      <c r="Q60" s="90">
        <v>560</v>
      </c>
      <c r="R60" s="87"/>
      <c r="S60" s="87"/>
      <c r="T60" s="87"/>
      <c r="U60" s="87"/>
    </row>
    <row r="61" spans="1:21" x14ac:dyDescent="0.15">
      <c r="M61" s="87"/>
      <c r="N61" s="90">
        <v>46</v>
      </c>
      <c r="O61" s="90">
        <v>401</v>
      </c>
      <c r="P61" s="90">
        <v>454</v>
      </c>
      <c r="Q61" s="90">
        <v>590</v>
      </c>
      <c r="R61" s="87"/>
      <c r="S61" s="87"/>
      <c r="T61" s="87"/>
      <c r="U61" s="87"/>
    </row>
    <row r="62" spans="1:21" x14ac:dyDescent="0.15">
      <c r="M62" s="87"/>
      <c r="N62" s="87"/>
      <c r="O62" s="87"/>
      <c r="P62" s="87"/>
      <c r="Q62" s="87"/>
      <c r="R62" s="87"/>
      <c r="S62" s="87"/>
      <c r="T62" s="87"/>
      <c r="U62" s="87"/>
    </row>
    <row r="63" spans="1:21" x14ac:dyDescent="0.15">
      <c r="M63" s="87"/>
      <c r="N63" s="87"/>
      <c r="O63" s="87"/>
      <c r="P63" s="87"/>
      <c r="Q63" s="87"/>
      <c r="R63" s="87"/>
      <c r="S63" s="87"/>
      <c r="T63" s="87"/>
      <c r="U63" s="87"/>
    </row>
    <row r="64" spans="1:21" x14ac:dyDescent="0.15">
      <c r="M64" s="87"/>
      <c r="N64" s="95" t="s">
        <v>12</v>
      </c>
      <c r="O64" s="96">
        <f>AVERAGE(O40:O61)</f>
        <v>422.31818181818181</v>
      </c>
      <c r="P64" s="96">
        <f>AVERAGE(P40:P61)</f>
        <v>486.86363636363637</v>
      </c>
      <c r="Q64" s="96">
        <f>AVERAGE(Q40:Q61)</f>
        <v>572.63636363636363</v>
      </c>
      <c r="R64" s="87"/>
      <c r="S64" s="92"/>
      <c r="T64" s="92"/>
      <c r="U64" s="87"/>
    </row>
    <row r="65" spans="2:21" x14ac:dyDescent="0.15">
      <c r="B65" s="98"/>
      <c r="M65" s="87"/>
      <c r="N65" s="95" t="s">
        <v>13</v>
      </c>
      <c r="O65" s="96">
        <f>STDEV(O40:O61)</f>
        <v>18.148557239354588</v>
      </c>
      <c r="P65" s="96">
        <f>STDEV(P40:P61)</f>
        <v>16.39481757416176</v>
      </c>
      <c r="Q65" s="96">
        <f>STDEV(Q40:Q61)</f>
        <v>17.464373135166603</v>
      </c>
      <c r="R65" s="87"/>
      <c r="S65" s="92"/>
      <c r="T65" s="87"/>
      <c r="U65" s="87"/>
    </row>
    <row r="66" spans="2:21" x14ac:dyDescent="0.15">
      <c r="M66" s="87"/>
      <c r="N66" s="95" t="s">
        <v>14</v>
      </c>
      <c r="O66" s="90">
        <f>MAX(O40:O61)</f>
        <v>464</v>
      </c>
      <c r="P66" s="90">
        <f>MAX(P40:P61)</f>
        <v>524</v>
      </c>
      <c r="Q66" s="90">
        <f>MAX(Q40:Q61)</f>
        <v>603</v>
      </c>
      <c r="R66" s="87"/>
      <c r="S66" s="87"/>
      <c r="T66" s="87"/>
      <c r="U66" s="87"/>
    </row>
    <row r="67" spans="2:21" x14ac:dyDescent="0.15">
      <c r="M67" s="87"/>
      <c r="N67" s="95" t="s">
        <v>15</v>
      </c>
      <c r="O67" s="90">
        <f>MIN(O40:O61)</f>
        <v>397</v>
      </c>
      <c r="P67" s="90">
        <f>MIN(P40:P61)</f>
        <v>454</v>
      </c>
      <c r="Q67" s="90">
        <f>MIN(Q40:Q61)</f>
        <v>541</v>
      </c>
      <c r="R67" s="87"/>
      <c r="S67" s="87"/>
      <c r="T67" s="87"/>
      <c r="U67" s="87"/>
    </row>
    <row r="68" spans="2:21" x14ac:dyDescent="0.15">
      <c r="M68" s="87"/>
      <c r="N68" s="87"/>
      <c r="O68" s="87"/>
      <c r="P68" s="87"/>
      <c r="Q68" s="87"/>
      <c r="R68" s="87"/>
      <c r="S68" s="87"/>
      <c r="T68" s="87"/>
      <c r="U68" s="87"/>
    </row>
    <row r="69" spans="2:21" x14ac:dyDescent="0.15">
      <c r="M69" s="87"/>
      <c r="N69" s="87"/>
      <c r="O69" s="87"/>
      <c r="P69" s="87"/>
      <c r="Q69" s="87"/>
      <c r="R69" s="87"/>
      <c r="S69" s="87"/>
      <c r="T69" s="87"/>
      <c r="U69" s="87"/>
    </row>
  </sheetData>
  <mergeCells count="1">
    <mergeCell ref="B5:D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8"/>
  <sheetViews>
    <sheetView zoomScale="115" zoomScaleNormal="115" zoomScalePageLayoutView="115" workbookViewId="0">
      <selection activeCell="S24" sqref="S24"/>
    </sheetView>
  </sheetViews>
  <sheetFormatPr baseColWidth="10" defaultColWidth="8.83203125" defaultRowHeight="13" x14ac:dyDescent="0.15"/>
  <cols>
    <col min="1" max="7" width="14.6640625" customWidth="1"/>
    <col min="8" max="8" width="10.6640625" customWidth="1"/>
    <col min="26" max="27" width="12.5" bestFit="1" customWidth="1"/>
  </cols>
  <sheetData>
    <row r="1" spans="1:30" ht="15" x14ac:dyDescent="0.15">
      <c r="A1" s="11" t="s">
        <v>9</v>
      </c>
      <c r="B1" s="11" t="s">
        <v>10</v>
      </c>
      <c r="C1" s="11" t="s">
        <v>29</v>
      </c>
      <c r="D1" s="11" t="s">
        <v>11</v>
      </c>
      <c r="E1" s="20" t="s">
        <v>22</v>
      </c>
      <c r="F1" s="20" t="s">
        <v>23</v>
      </c>
      <c r="G1" s="20" t="s">
        <v>25</v>
      </c>
      <c r="H1" s="20" t="s">
        <v>26</v>
      </c>
    </row>
    <row r="2" spans="1:30" x14ac:dyDescent="0.15">
      <c r="A2" s="15">
        <v>2</v>
      </c>
      <c r="B2" s="8">
        <v>1</v>
      </c>
      <c r="C2" s="8">
        <f>B2/$B$8</f>
        <v>0.04</v>
      </c>
      <c r="D2" s="23">
        <f>C2</f>
        <v>0.04</v>
      </c>
      <c r="E2" s="23">
        <f>NORMDIST(A2,$B$9,$B$10,TRUE)</f>
        <v>6.5847721255213373E-3</v>
      </c>
      <c r="F2" s="27">
        <f>NORMDIST(A2,$B$9,$B$10,FALSE)</f>
        <v>2.3295677374321016E-2</v>
      </c>
      <c r="G2" s="26">
        <f>F2*$B$8</f>
        <v>0.58239193435802539</v>
      </c>
      <c r="H2" s="50">
        <f>(G2-B2)^2/G2</f>
        <v>0.29944868086380733</v>
      </c>
      <c r="I2" s="26">
        <f>(G2-B2)^2</f>
        <v>0.17439649648923178</v>
      </c>
      <c r="J2" s="13">
        <f>G2^2</f>
        <v>0.33918036520528255</v>
      </c>
      <c r="S2" s="15">
        <v>2</v>
      </c>
      <c r="T2" s="8">
        <v>1</v>
      </c>
      <c r="V2">
        <v>2</v>
      </c>
      <c r="X2">
        <v>0.2</v>
      </c>
      <c r="Y2" s="13">
        <v>0</v>
      </c>
      <c r="Z2" s="13">
        <f>NORMDIST(Y2,$B$27,$B$28,FALSE)</f>
        <v>1.0367025667374139E-12</v>
      </c>
      <c r="AA2" s="13">
        <f>NORMDIST(Y2,$B$9,$B$10,FALSE)</f>
        <v>1.8501492936722355E-6</v>
      </c>
    </row>
    <row r="3" spans="1:30" x14ac:dyDescent="0.15">
      <c r="A3" s="15">
        <v>3</v>
      </c>
      <c r="B3" s="8">
        <v>4</v>
      </c>
      <c r="C3" s="8">
        <f t="shared" ref="C3:C6" si="0">B3/$B$8</f>
        <v>0.16</v>
      </c>
      <c r="D3" s="23">
        <f>D2+C3</f>
        <v>0.2</v>
      </c>
      <c r="E3" s="23">
        <f t="shared" ref="E3:E6" si="1">NORMDIST(A3,$B$9,$B$10,TRUE)</f>
        <v>0.11173705011992037</v>
      </c>
      <c r="F3" s="27">
        <f t="shared" ref="F3:F6" si="2">NORMDIST(A3,$B$9,$B$10,FALSE)</f>
        <v>0.23994326043279252</v>
      </c>
      <c r="G3" s="26">
        <f t="shared" ref="G3:G6" si="3">F3*$B$8</f>
        <v>5.9985815108198128</v>
      </c>
      <c r="H3" s="50">
        <f t="shared" ref="H3:H6" si="4">(G3-B3)^2/G3</f>
        <v>0.6658787662026634</v>
      </c>
      <c r="I3" s="26">
        <f t="shared" ref="I3:I6" si="5">(G3-B3)^2</f>
        <v>3.9943280553908056</v>
      </c>
      <c r="J3" s="13">
        <f t="shared" ref="J3:J6" si="6">G3^2</f>
        <v>35.982980141949305</v>
      </c>
      <c r="S3" s="15">
        <v>3</v>
      </c>
      <c r="T3" s="8">
        <v>4</v>
      </c>
      <c r="U3" s="13"/>
      <c r="V3">
        <v>3</v>
      </c>
      <c r="W3" s="13"/>
      <c r="Y3" s="13">
        <f>Y2+$X$2</f>
        <v>0.2</v>
      </c>
      <c r="Z3" s="13">
        <f t="shared" ref="Z3:Z42" si="7">NORMDIST(Y3,$B$27,$B$28,FALSE)</f>
        <v>1.5854065096021633E-11</v>
      </c>
      <c r="AA3" s="13">
        <f t="shared" ref="AA3:AA22" si="8">NORMDIST(Y3,$B$9,$B$10,FALSE)</f>
        <v>6.3339956344809782E-6</v>
      </c>
    </row>
    <row r="4" spans="1:30" x14ac:dyDescent="0.15">
      <c r="A4" s="15">
        <v>4</v>
      </c>
      <c r="B4" s="8">
        <v>17</v>
      </c>
      <c r="C4" s="8">
        <f t="shared" si="0"/>
        <v>0.68</v>
      </c>
      <c r="D4" s="23">
        <f>D3+C4</f>
        <v>0.88000000000000012</v>
      </c>
      <c r="E4" s="23">
        <f t="shared" si="1"/>
        <v>0.51773398449670904</v>
      </c>
      <c r="F4" s="27">
        <f t="shared" si="2"/>
        <v>0.50289160719794956</v>
      </c>
      <c r="G4" s="26">
        <f t="shared" si="3"/>
        <v>12.572290179948739</v>
      </c>
      <c r="H4" s="50">
        <f t="shared" si="4"/>
        <v>1.5593510784411677</v>
      </c>
      <c r="I4" s="26">
        <f t="shared" si="5"/>
        <v>19.604614250578368</v>
      </c>
      <c r="J4" s="13">
        <f t="shared" si="6"/>
        <v>158.06248036883551</v>
      </c>
      <c r="S4" s="15">
        <v>4</v>
      </c>
      <c r="T4" s="8">
        <v>17</v>
      </c>
      <c r="U4" s="13"/>
      <c r="V4">
        <v>3</v>
      </c>
      <c r="W4" s="13"/>
      <c r="Y4" s="13">
        <f t="shared" ref="Y4:Y22" si="9">Y3+$X$2</f>
        <v>0.4</v>
      </c>
      <c r="Z4" s="13">
        <f t="shared" si="7"/>
        <v>2.1005856846282955E-10</v>
      </c>
      <c r="AA4" s="13">
        <f t="shared" si="8"/>
        <v>2.0346515796951033E-5</v>
      </c>
    </row>
    <row r="5" spans="1:30" x14ac:dyDescent="0.15">
      <c r="A5" s="15">
        <v>5</v>
      </c>
      <c r="B5" s="8">
        <v>2</v>
      </c>
      <c r="C5" s="8">
        <f t="shared" si="0"/>
        <v>0.08</v>
      </c>
      <c r="D5" s="23">
        <f>D4+C5</f>
        <v>0.96000000000000008</v>
      </c>
      <c r="E5" s="23">
        <f t="shared" si="1"/>
        <v>0.90427070462882475</v>
      </c>
      <c r="F5" s="27">
        <f t="shared" si="2"/>
        <v>0.21447310460496136</v>
      </c>
      <c r="G5" s="26">
        <f t="shared" si="3"/>
        <v>5.3618276151240343</v>
      </c>
      <c r="H5" s="50">
        <f t="shared" si="4"/>
        <v>2.1078419011330163</v>
      </c>
      <c r="I5" s="26">
        <f t="shared" si="5"/>
        <v>11.301884913810552</v>
      </c>
      <c r="J5" s="13">
        <f t="shared" si="6"/>
        <v>28.749195374306687</v>
      </c>
      <c r="S5" s="15">
        <v>5</v>
      </c>
      <c r="T5" s="8">
        <v>2</v>
      </c>
      <c r="V5">
        <v>3</v>
      </c>
      <c r="Y5" s="13">
        <f>Y4+$X$2</f>
        <v>0.60000000000000009</v>
      </c>
      <c r="Z5" s="13">
        <f t="shared" si="7"/>
        <v>2.4113123308870667E-9</v>
      </c>
      <c r="AA5" s="13">
        <f t="shared" si="8"/>
        <v>6.1325859674929686E-5</v>
      </c>
    </row>
    <row r="6" spans="1:30" x14ac:dyDescent="0.15">
      <c r="A6" s="15">
        <v>6</v>
      </c>
      <c r="B6" s="8">
        <v>1</v>
      </c>
      <c r="C6" s="8">
        <f t="shared" si="0"/>
        <v>0.04</v>
      </c>
      <c r="D6" s="23">
        <f>D5+C6</f>
        <v>1</v>
      </c>
      <c r="E6" s="23">
        <f t="shared" si="1"/>
        <v>0.99488690466563323</v>
      </c>
      <c r="F6" s="27">
        <f t="shared" si="2"/>
        <v>1.8612465603714441E-2</v>
      </c>
      <c r="G6" s="26">
        <f t="shared" si="3"/>
        <v>0.46531164009286102</v>
      </c>
      <c r="H6" s="50">
        <f t="shared" si="4"/>
        <v>0.61440896291167701</v>
      </c>
      <c r="I6" s="26">
        <f t="shared" si="5"/>
        <v>0.28589164222018626</v>
      </c>
      <c r="J6" s="13">
        <f t="shared" si="6"/>
        <v>0.21651492240590822</v>
      </c>
      <c r="S6" s="15">
        <v>6</v>
      </c>
      <c r="T6" s="8">
        <v>1</v>
      </c>
      <c r="U6" s="13"/>
      <c r="V6">
        <v>3</v>
      </c>
      <c r="W6" s="13"/>
      <c r="X6" s="13"/>
      <c r="Y6" s="37">
        <f t="shared" si="9"/>
        <v>0.8</v>
      </c>
      <c r="Z6" s="13">
        <f t="shared" si="7"/>
        <v>2.3981692705283036E-8</v>
      </c>
      <c r="AA6" s="13">
        <f t="shared" si="8"/>
        <v>1.7343571883433594E-4</v>
      </c>
      <c r="AC6">
        <v>2</v>
      </c>
      <c r="AD6" s="38">
        <v>0.04</v>
      </c>
    </row>
    <row r="7" spans="1:30" ht="14" thickBot="1" x14ac:dyDescent="0.2">
      <c r="A7" s="10"/>
      <c r="B7" s="10"/>
      <c r="C7" s="10"/>
      <c r="D7" s="24"/>
      <c r="E7" s="28"/>
      <c r="F7" s="29"/>
      <c r="G7" s="28"/>
      <c r="H7" s="28"/>
      <c r="I7" s="26"/>
      <c r="J7" s="13"/>
      <c r="S7" s="8"/>
      <c r="T7" s="8"/>
      <c r="U7" s="13"/>
      <c r="V7" s="13">
        <v>4</v>
      </c>
      <c r="W7" s="13"/>
      <c r="X7" s="13"/>
      <c r="Y7" s="13">
        <f t="shared" si="9"/>
        <v>1</v>
      </c>
      <c r="Z7" s="13">
        <f t="shared" si="7"/>
        <v>2.0664243064964738E-7</v>
      </c>
      <c r="AA7" s="13">
        <f t="shared" si="8"/>
        <v>4.6022981403855302E-4</v>
      </c>
      <c r="AC7">
        <v>3</v>
      </c>
      <c r="AD7" s="38">
        <v>0.16</v>
      </c>
    </row>
    <row r="8" spans="1:30" ht="16" x14ac:dyDescent="0.2">
      <c r="A8" s="21" t="s">
        <v>19</v>
      </c>
      <c r="B8" s="22">
        <f>SUM(B2:B7)</f>
        <v>25</v>
      </c>
      <c r="C8" s="22"/>
      <c r="D8" s="9"/>
      <c r="E8" s="9"/>
      <c r="F8" s="9"/>
      <c r="G8" s="30" t="s">
        <v>24</v>
      </c>
      <c r="H8" s="26">
        <f>SUM(H2:H7)</f>
        <v>5.2469293895523315</v>
      </c>
      <c r="I8" s="26">
        <f>SUM(I2:I7)</f>
        <v>35.361115358489144</v>
      </c>
      <c r="J8" s="26">
        <f>SUM(J2:J7)</f>
        <v>223.35035117270269</v>
      </c>
      <c r="S8" s="8"/>
      <c r="T8" s="8"/>
      <c r="U8" s="13"/>
      <c r="V8" s="13">
        <v>4</v>
      </c>
      <c r="W8" s="13"/>
      <c r="X8" s="13"/>
      <c r="Y8" s="37">
        <f t="shared" si="9"/>
        <v>1.2</v>
      </c>
      <c r="Z8" s="13">
        <f t="shared" si="7"/>
        <v>1.5426679990164662E-6</v>
      </c>
      <c r="AA8" s="13">
        <f t="shared" si="8"/>
        <v>1.1459146149405024E-3</v>
      </c>
      <c r="AC8">
        <v>4</v>
      </c>
      <c r="AD8" s="38">
        <v>0.68</v>
      </c>
    </row>
    <row r="9" spans="1:30" ht="18" thickBot="1" x14ac:dyDescent="0.3">
      <c r="A9" s="22" t="s">
        <v>20</v>
      </c>
      <c r="B9" s="31">
        <v>3.964759207174267</v>
      </c>
      <c r="C9" s="31"/>
      <c r="D9" s="9"/>
      <c r="E9" s="9"/>
      <c r="F9" s="32" t="s">
        <v>27</v>
      </c>
      <c r="G9" s="30" t="s">
        <v>30</v>
      </c>
      <c r="H9" s="26">
        <f>CHIINV(0.05,4)</f>
        <v>9.4877290367811575</v>
      </c>
      <c r="S9" s="10"/>
      <c r="T9" s="10"/>
      <c r="U9" s="18"/>
      <c r="V9" s="13">
        <v>4</v>
      </c>
      <c r="W9" s="18"/>
      <c r="X9" s="18"/>
      <c r="Y9" s="13">
        <f>Y8+$X$2</f>
        <v>1.4</v>
      </c>
      <c r="Z9" s="13">
        <f t="shared" si="7"/>
        <v>9.9778906666670533E-6</v>
      </c>
      <c r="AA9" s="13">
        <f t="shared" si="8"/>
        <v>2.6771399347144446E-3</v>
      </c>
      <c r="AC9">
        <v>5</v>
      </c>
      <c r="AD9" s="38">
        <v>0.08</v>
      </c>
    </row>
    <row r="10" spans="1:30" ht="15" thickBot="1" x14ac:dyDescent="0.25">
      <c r="A10" s="25" t="s">
        <v>21</v>
      </c>
      <c r="B10" s="33">
        <v>0.79251283920137339</v>
      </c>
      <c r="C10" s="31"/>
      <c r="D10" s="9"/>
      <c r="E10" s="9"/>
      <c r="F10" s="9"/>
      <c r="G10" s="30"/>
      <c r="H10" s="31"/>
      <c r="J10" s="13"/>
      <c r="U10" s="13"/>
      <c r="V10" s="18">
        <v>4</v>
      </c>
      <c r="W10" s="13"/>
      <c r="X10" s="13"/>
      <c r="Y10" s="37">
        <f t="shared" si="9"/>
        <v>1.5999999999999999</v>
      </c>
      <c r="Z10" s="13">
        <f t="shared" si="7"/>
        <v>5.5913710324798186E-5</v>
      </c>
      <c r="AA10" s="13">
        <f t="shared" si="8"/>
        <v>5.8685551633793943E-3</v>
      </c>
      <c r="AC10">
        <v>6</v>
      </c>
      <c r="AD10" s="38">
        <v>0.04</v>
      </c>
    </row>
    <row r="11" spans="1:30" ht="15" x14ac:dyDescent="0.15">
      <c r="A11" s="15"/>
      <c r="B11" s="8"/>
      <c r="C11" s="8"/>
      <c r="D11" s="15">
        <f>A2*B2</f>
        <v>2</v>
      </c>
      <c r="E11" s="15">
        <f>B2*(A2-$C$14)^2</f>
        <v>3.6863999999999999</v>
      </c>
      <c r="F11" s="9"/>
      <c r="G11" s="34" t="s">
        <v>28</v>
      </c>
      <c r="H11" s="26">
        <f>1-I8/J8</f>
        <v>0.84167871161685959</v>
      </c>
      <c r="V11" s="13">
        <v>4</v>
      </c>
      <c r="Y11" s="13">
        <f t="shared" si="9"/>
        <v>1.7999999999999998</v>
      </c>
      <c r="Z11" s="13">
        <f t="shared" si="7"/>
        <v>2.7146333776077329E-4</v>
      </c>
      <c r="AA11" s="13">
        <f t="shared" si="8"/>
        <v>1.2070704404671898E-2</v>
      </c>
    </row>
    <row r="12" spans="1:30" x14ac:dyDescent="0.15">
      <c r="A12" s="15"/>
      <c r="B12" s="15"/>
      <c r="C12" s="15"/>
      <c r="D12" s="15">
        <f t="shared" ref="D12:D15" si="10">A3*B3</f>
        <v>12</v>
      </c>
      <c r="E12" s="15">
        <f t="shared" ref="E12:E15" si="11">B3*(A3-$C$14)^2</f>
        <v>3.3855999999999993</v>
      </c>
      <c r="F12" s="15"/>
      <c r="G12" s="15"/>
      <c r="H12" s="15"/>
      <c r="T12" s="13"/>
      <c r="U12" s="13"/>
      <c r="V12" s="13">
        <v>4</v>
      </c>
      <c r="X12" s="19"/>
      <c r="Y12" s="37">
        <f t="shared" si="9"/>
        <v>1.9999999999999998</v>
      </c>
      <c r="Z12" s="13">
        <f t="shared" si="7"/>
        <v>1.1418718279748421E-3</v>
      </c>
      <c r="AA12" s="13">
        <f t="shared" si="8"/>
        <v>2.3295677374321016E-2</v>
      </c>
    </row>
    <row r="13" spans="1:30" x14ac:dyDescent="0.15">
      <c r="A13" s="15"/>
      <c r="C13" s="15"/>
      <c r="D13" s="15">
        <f t="shared" si="10"/>
        <v>68</v>
      </c>
      <c r="E13" s="15">
        <f t="shared" si="11"/>
        <v>0.1088000000000002</v>
      </c>
      <c r="F13" s="15"/>
      <c r="G13" s="26"/>
      <c r="H13" s="15"/>
      <c r="T13" s="13"/>
      <c r="U13" s="13"/>
      <c r="V13" s="13">
        <v>4</v>
      </c>
      <c r="Y13" s="13">
        <f t="shared" si="9"/>
        <v>2.1999999999999997</v>
      </c>
      <c r="Z13" s="13">
        <f t="shared" si="7"/>
        <v>4.1613748015333438E-3</v>
      </c>
      <c r="AA13" s="13">
        <f t="shared" si="8"/>
        <v>4.2185128476922705E-2</v>
      </c>
    </row>
    <row r="14" spans="1:30" x14ac:dyDescent="0.15">
      <c r="A14" s="15"/>
      <c r="B14" s="15">
        <f>AVERAGE(V2:V26)</f>
        <v>3.92</v>
      </c>
      <c r="C14" s="31">
        <f>D16/B8</f>
        <v>3.92</v>
      </c>
      <c r="D14" s="15">
        <f t="shared" si="10"/>
        <v>10</v>
      </c>
      <c r="E14" s="15">
        <f t="shared" si="11"/>
        <v>2.3328000000000002</v>
      </c>
      <c r="F14" s="15"/>
      <c r="G14" s="15">
        <f>C14+2*C15</f>
        <v>5.4387714333192694</v>
      </c>
      <c r="H14" s="15"/>
      <c r="T14" s="13"/>
      <c r="U14" s="13"/>
      <c r="V14" s="13">
        <v>4</v>
      </c>
      <c r="Y14" s="37">
        <f t="shared" si="9"/>
        <v>2.4</v>
      </c>
      <c r="Z14" s="13">
        <f t="shared" si="7"/>
        <v>1.3139220743275436E-2</v>
      </c>
      <c r="AA14" s="13">
        <f t="shared" si="8"/>
        <v>7.1677807727786563E-2</v>
      </c>
    </row>
    <row r="15" spans="1:30" x14ac:dyDescent="0.15">
      <c r="A15" s="15"/>
      <c r="B15" s="15">
        <f>STDEV(V2:V26)</f>
        <v>0.75938571665963384</v>
      </c>
      <c r="C15" s="31">
        <f>SQRT(E16/(B8-1))</f>
        <v>0.7593857166596345</v>
      </c>
      <c r="D15" s="15">
        <f t="shared" si="10"/>
        <v>6</v>
      </c>
      <c r="E15" s="15">
        <f t="shared" si="11"/>
        <v>4.3264000000000005</v>
      </c>
      <c r="F15" s="15"/>
      <c r="G15" s="15">
        <f>C14-2*C15</f>
        <v>2.4012285666807309</v>
      </c>
      <c r="H15" s="15"/>
      <c r="T15" s="13"/>
      <c r="U15" s="13"/>
      <c r="V15" s="13">
        <v>4</v>
      </c>
      <c r="Y15" s="13">
        <f t="shared" si="9"/>
        <v>2.6</v>
      </c>
      <c r="Z15" s="13">
        <f t="shared" si="7"/>
        <v>3.5943112820518361E-2</v>
      </c>
      <c r="AA15" s="13">
        <f t="shared" si="8"/>
        <v>0.11427503329322655</v>
      </c>
    </row>
    <row r="16" spans="1:30" x14ac:dyDescent="0.15">
      <c r="A16" s="15"/>
      <c r="B16" s="15"/>
      <c r="C16" s="15"/>
      <c r="D16" s="26">
        <f>SUM(D10:D15)</f>
        <v>98</v>
      </c>
      <c r="E16" s="26">
        <f>SUM(E10:E15)</f>
        <v>13.84</v>
      </c>
      <c r="F16" s="15"/>
      <c r="G16" s="15"/>
      <c r="H16" s="15"/>
      <c r="T16" s="13"/>
      <c r="U16" s="13"/>
      <c r="V16" s="13">
        <v>4</v>
      </c>
      <c r="Y16" s="13">
        <f t="shared" si="9"/>
        <v>2.8000000000000003</v>
      </c>
      <c r="Z16" s="13">
        <f t="shared" si="7"/>
        <v>8.518734134185442E-2</v>
      </c>
      <c r="AA16" s="13">
        <f t="shared" si="8"/>
        <v>0.17094614198185279</v>
      </c>
    </row>
    <row r="17" spans="1:27" x14ac:dyDescent="0.15">
      <c r="A17" s="15"/>
      <c r="B17" s="15"/>
      <c r="C17" s="15"/>
      <c r="D17" s="15"/>
      <c r="E17" s="15"/>
      <c r="F17" s="15"/>
      <c r="G17" s="15"/>
      <c r="H17" s="15"/>
      <c r="T17" s="13"/>
      <c r="U17" s="13"/>
      <c r="V17" s="13">
        <v>4</v>
      </c>
      <c r="Y17" s="13">
        <f t="shared" si="9"/>
        <v>3.0000000000000004</v>
      </c>
      <c r="Z17" s="13">
        <f t="shared" si="7"/>
        <v>0.17492333295690657</v>
      </c>
      <c r="AA17" s="13">
        <f t="shared" si="8"/>
        <v>0.23994326043279268</v>
      </c>
    </row>
    <row r="18" spans="1:27" ht="14" thickBot="1" x14ac:dyDescent="0.2">
      <c r="A18" s="15"/>
      <c r="B18" s="15"/>
      <c r="C18" s="15"/>
      <c r="D18" s="15"/>
      <c r="E18" s="15"/>
      <c r="F18" s="15"/>
      <c r="G18" s="15"/>
      <c r="H18" s="15"/>
      <c r="T18" s="13"/>
      <c r="U18" s="13"/>
      <c r="V18" s="13">
        <v>4</v>
      </c>
      <c r="Y18" s="13">
        <f t="shared" si="9"/>
        <v>3.2000000000000006</v>
      </c>
      <c r="Z18" s="13">
        <f t="shared" si="7"/>
        <v>0.31119579805787634</v>
      </c>
      <c r="AA18" s="13">
        <f t="shared" si="8"/>
        <v>0.316008753445149</v>
      </c>
    </row>
    <row r="19" spans="1:27" ht="15" x14ac:dyDescent="0.15">
      <c r="A19" s="11" t="s">
        <v>9</v>
      </c>
      <c r="B19" s="11" t="s">
        <v>10</v>
      </c>
      <c r="C19" s="11" t="s">
        <v>29</v>
      </c>
      <c r="D19" s="11" t="s">
        <v>11</v>
      </c>
      <c r="E19" s="20" t="s">
        <v>22</v>
      </c>
      <c r="F19" s="20" t="s">
        <v>23</v>
      </c>
      <c r="G19" s="20" t="s">
        <v>25</v>
      </c>
      <c r="H19" s="20" t="s">
        <v>26</v>
      </c>
      <c r="V19" s="13">
        <v>4</v>
      </c>
      <c r="Y19" s="13">
        <f t="shared" si="9"/>
        <v>3.4000000000000008</v>
      </c>
      <c r="Z19" s="13">
        <f t="shared" si="7"/>
        <v>0.47965945092147222</v>
      </c>
      <c r="AA19" s="13">
        <f t="shared" si="8"/>
        <v>0.39050893427159067</v>
      </c>
    </row>
    <row r="20" spans="1:27" x14ac:dyDescent="0.15">
      <c r="A20" s="15"/>
      <c r="B20" s="8"/>
      <c r="C20" s="26"/>
      <c r="D20" s="23"/>
      <c r="E20" s="26"/>
      <c r="F20" s="27"/>
      <c r="G20" s="26"/>
      <c r="H20" s="26"/>
      <c r="I20" s="26"/>
      <c r="J20" s="13"/>
      <c r="V20" s="13">
        <v>4</v>
      </c>
      <c r="Y20" s="13">
        <f t="shared" si="9"/>
        <v>3.600000000000001</v>
      </c>
      <c r="Z20" s="13">
        <f t="shared" si="7"/>
        <v>0.64053901679144942</v>
      </c>
      <c r="AA20" s="13">
        <f t="shared" si="8"/>
        <v>0.45279762548947383</v>
      </c>
    </row>
    <row r="21" spans="1:27" x14ac:dyDescent="0.15">
      <c r="A21" s="15">
        <v>3</v>
      </c>
      <c r="B21" s="8">
        <v>4</v>
      </c>
      <c r="C21" s="26">
        <f t="shared" ref="C21:C23" si="12">B21/$B$26</f>
        <v>0.17391304347826086</v>
      </c>
      <c r="D21" s="23">
        <f>D20+C21</f>
        <v>0.17391304347826086</v>
      </c>
      <c r="E21" s="23">
        <f t="shared" ref="E21:E23" si="13">NORMDIST(A21,$B$27,$B$28,TRUE)</f>
        <v>4.3585955144824509E-2</v>
      </c>
      <c r="F21" s="27">
        <f t="shared" ref="F21:F23" si="14">NORMDIST(A21,$B$27,$B$28,FALSE)</f>
        <v>0.17492333295690629</v>
      </c>
      <c r="G21" s="26">
        <f t="shared" ref="G21:G23" si="15">F21*$B$26</f>
        <v>4.0232366580088446</v>
      </c>
      <c r="H21" s="51">
        <f t="shared" ref="H21:H23" si="16">(G21-B21)^2/G21</f>
        <v>1.3420594444653544E-4</v>
      </c>
      <c r="I21" s="26">
        <f t="shared" ref="I21:I23" si="17">(G21-B21)^2</f>
        <v>5.3994227541999992E-4</v>
      </c>
      <c r="J21" s="13">
        <f t="shared" ref="J21:J23" si="18">G21^2</f>
        <v>16.186433206346177</v>
      </c>
      <c r="V21" s="13">
        <v>4</v>
      </c>
      <c r="Y21" s="13">
        <f>Y20+$X$2</f>
        <v>3.8000000000000012</v>
      </c>
      <c r="Z21" s="13">
        <f t="shared" si="7"/>
        <v>0.7410908868845264</v>
      </c>
      <c r="AA21" s="13">
        <f t="shared" si="8"/>
        <v>0.49262745460117852</v>
      </c>
    </row>
    <row r="22" spans="1:27" x14ac:dyDescent="0.15">
      <c r="A22" s="15">
        <v>4</v>
      </c>
      <c r="B22" s="8">
        <v>17</v>
      </c>
      <c r="C22" s="26">
        <f t="shared" si="12"/>
        <v>0.73913043478260865</v>
      </c>
      <c r="D22" s="23">
        <f>D21+C22</f>
        <v>0.91304347826086951</v>
      </c>
      <c r="E22" s="23">
        <f t="shared" si="13"/>
        <v>0.57261515476565727</v>
      </c>
      <c r="F22" s="27">
        <f t="shared" si="14"/>
        <v>0.7428663015100222</v>
      </c>
      <c r="G22" s="26">
        <f t="shared" si="15"/>
        <v>17.08592493473051</v>
      </c>
      <c r="H22" s="51">
        <f t="shared" si="16"/>
        <v>4.3211558265920073E-4</v>
      </c>
      <c r="I22" s="26">
        <f t="shared" si="17"/>
        <v>7.3830944084424411E-3</v>
      </c>
      <c r="J22" s="13">
        <f t="shared" si="18"/>
        <v>291.92883087524581</v>
      </c>
      <c r="V22" s="13">
        <v>4</v>
      </c>
      <c r="Y22" s="13">
        <f t="shared" si="9"/>
        <v>4.0000000000000009</v>
      </c>
      <c r="Z22" s="13">
        <f t="shared" si="7"/>
        <v>0.74286630151002198</v>
      </c>
      <c r="AA22" s="13">
        <f t="shared" si="8"/>
        <v>0.50289160719794945</v>
      </c>
    </row>
    <row r="23" spans="1:27" x14ac:dyDescent="0.15">
      <c r="A23" s="15">
        <v>5</v>
      </c>
      <c r="B23" s="8">
        <v>2</v>
      </c>
      <c r="C23" s="26">
        <f t="shared" si="12"/>
        <v>8.6956521739130432E-2</v>
      </c>
      <c r="D23" s="23">
        <f>D22+C23</f>
        <v>1</v>
      </c>
      <c r="E23" s="23">
        <f t="shared" si="13"/>
        <v>0.98107985564687139</v>
      </c>
      <c r="F23" s="27">
        <f t="shared" si="14"/>
        <v>8.7459320946500746E-2</v>
      </c>
      <c r="G23" s="26">
        <f t="shared" si="15"/>
        <v>2.0115643817695172</v>
      </c>
      <c r="H23" s="51">
        <f t="shared" si="16"/>
        <v>6.6483045197638567E-5</v>
      </c>
      <c r="I23" s="26">
        <f t="shared" si="17"/>
        <v>1.3373492571114269E-4</v>
      </c>
      <c r="J23" s="13">
        <f t="shared" si="18"/>
        <v>4.0463912620037803</v>
      </c>
      <c r="V23" s="13">
        <v>4</v>
      </c>
      <c r="Y23" s="13">
        <f t="shared" ref="Y23:Y31" si="19">Y22+$X$2</f>
        <v>4.2000000000000011</v>
      </c>
      <c r="Z23" s="13">
        <f t="shared" si="7"/>
        <v>0.64515362865142267</v>
      </c>
      <c r="AA23" s="13">
        <f t="shared" ref="AA23:AA31" si="20">NORMDIST(Y23,$B$9,$B$10,FALSE)</f>
        <v>0.48169425685421724</v>
      </c>
    </row>
    <row r="24" spans="1:27" x14ac:dyDescent="0.15">
      <c r="A24" s="15"/>
      <c r="B24" s="8"/>
      <c r="C24" s="26"/>
      <c r="D24" s="23"/>
      <c r="E24" s="26"/>
      <c r="F24" s="27"/>
      <c r="G24" s="26"/>
      <c r="H24" s="26"/>
      <c r="I24" s="26"/>
      <c r="J24" s="13"/>
      <c r="V24" s="13">
        <v>5</v>
      </c>
      <c r="Y24" s="13">
        <f t="shared" si="19"/>
        <v>4.4000000000000012</v>
      </c>
      <c r="Z24" s="13">
        <f t="shared" si="7"/>
        <v>0.48543259222662416</v>
      </c>
      <c r="AA24" s="13">
        <f t="shared" si="20"/>
        <v>0.4329221969864433</v>
      </c>
    </row>
    <row r="25" spans="1:27" ht="14" thickBot="1" x14ac:dyDescent="0.2">
      <c r="A25" s="10"/>
      <c r="B25" s="10"/>
      <c r="C25" s="10"/>
      <c r="D25" s="24"/>
      <c r="E25" s="35"/>
      <c r="F25" s="29"/>
      <c r="G25" s="28"/>
      <c r="H25" s="28"/>
      <c r="I25" s="26"/>
      <c r="J25" s="13"/>
      <c r="V25" s="13">
        <v>5</v>
      </c>
      <c r="Y25" s="13">
        <f t="shared" si="19"/>
        <v>4.6000000000000014</v>
      </c>
      <c r="Z25" s="13">
        <f t="shared" si="7"/>
        <v>0.31645212793939009</v>
      </c>
      <c r="AA25" s="13">
        <f t="shared" si="20"/>
        <v>0.36508126264547724</v>
      </c>
    </row>
    <row r="26" spans="1:27" ht="16" x14ac:dyDescent="0.2">
      <c r="A26" s="21" t="s">
        <v>19</v>
      </c>
      <c r="B26" s="22">
        <f>SUM(B20:B25)</f>
        <v>23</v>
      </c>
      <c r="C26" s="22"/>
      <c r="D26" s="9"/>
      <c r="E26" s="9"/>
      <c r="F26" s="9"/>
      <c r="G26" s="30" t="s">
        <v>24</v>
      </c>
      <c r="H26" s="51">
        <f>SUM(H20:H25)</f>
        <v>6.3280457230337477E-4</v>
      </c>
      <c r="I26" s="26">
        <f>SUM(I20:I25)</f>
        <v>8.0567716095735833E-3</v>
      </c>
      <c r="J26" s="26">
        <f>SUM(J20:J25)</f>
        <v>312.16165534359578</v>
      </c>
      <c r="V26" s="13">
        <v>6</v>
      </c>
      <c r="Y26" s="13">
        <f t="shared" si="19"/>
        <v>4.8000000000000016</v>
      </c>
      <c r="Z26" s="13">
        <f t="shared" si="7"/>
        <v>0.1787312160165348</v>
      </c>
      <c r="AA26" s="13">
        <f t="shared" si="20"/>
        <v>0.28887538599546386</v>
      </c>
    </row>
    <row r="27" spans="1:27" ht="17" x14ac:dyDescent="0.25">
      <c r="A27" s="22" t="s">
        <v>20</v>
      </c>
      <c r="B27" s="31">
        <v>3.9033367803318719</v>
      </c>
      <c r="C27" s="31"/>
      <c r="D27" s="9"/>
      <c r="E27" s="9"/>
      <c r="F27" s="32" t="s">
        <v>27</v>
      </c>
      <c r="G27" s="30" t="s">
        <v>38</v>
      </c>
      <c r="H27" s="26">
        <f>CHIINV(0.05,2)</f>
        <v>5.9914645471079817</v>
      </c>
      <c r="Y27" s="13">
        <f t="shared" si="19"/>
        <v>5.0000000000000018</v>
      </c>
      <c r="Z27" s="13">
        <f t="shared" si="7"/>
        <v>8.7459320946500205E-2</v>
      </c>
      <c r="AA27" s="13">
        <f t="shared" si="20"/>
        <v>0.21447310460496075</v>
      </c>
    </row>
    <row r="28" spans="1:27" ht="15" thickBot="1" x14ac:dyDescent="0.25">
      <c r="A28" s="25" t="s">
        <v>21</v>
      </c>
      <c r="B28" s="33">
        <v>0.52811012537178648</v>
      </c>
      <c r="C28" s="31"/>
      <c r="D28" s="9"/>
      <c r="E28" s="9"/>
      <c r="F28" s="9"/>
      <c r="G28" s="30"/>
      <c r="H28" s="31"/>
      <c r="J28" s="13"/>
      <c r="Y28" s="13">
        <f t="shared" si="19"/>
        <v>5.200000000000002</v>
      </c>
      <c r="Z28" s="13">
        <f t="shared" si="7"/>
        <v>3.7078750714340372E-2</v>
      </c>
      <c r="AA28" s="13">
        <f t="shared" si="20"/>
        <v>0.14940889124515189</v>
      </c>
    </row>
    <row r="29" spans="1:27" ht="15" x14ac:dyDescent="0.15">
      <c r="A29" s="15"/>
      <c r="B29" s="8"/>
      <c r="C29" s="8"/>
      <c r="D29" s="9"/>
      <c r="E29" s="9">
        <f>H24+H20</f>
        <v>0</v>
      </c>
      <c r="F29" s="26">
        <f>SUM(I20:I21,I23:I24)</f>
        <v>6.7367720113114258E-4</v>
      </c>
      <c r="G29" s="34" t="s">
        <v>28</v>
      </c>
      <c r="H29" s="26">
        <f>1-I26/J26</f>
        <v>0.99997419038670621</v>
      </c>
      <c r="Y29" s="13">
        <f t="shared" si="19"/>
        <v>5.4000000000000021</v>
      </c>
      <c r="Z29" s="13">
        <f t="shared" si="7"/>
        <v>1.3619381532917467E-2</v>
      </c>
      <c r="AA29" s="13">
        <f t="shared" si="20"/>
        <v>9.7661041633153436E-2</v>
      </c>
    </row>
    <row r="30" spans="1:27" x14ac:dyDescent="0.15">
      <c r="A30" s="15"/>
      <c r="B30" s="15"/>
      <c r="C30" s="15"/>
      <c r="D30" s="15"/>
      <c r="E30" s="15"/>
      <c r="F30" s="15"/>
      <c r="G30" s="15"/>
      <c r="H30" s="15"/>
      <c r="Y30" s="13">
        <f t="shared" si="19"/>
        <v>5.6000000000000023</v>
      </c>
      <c r="Z30" s="13">
        <f t="shared" si="7"/>
        <v>4.3341404499770819E-3</v>
      </c>
      <c r="AA30" s="13">
        <f t="shared" si="20"/>
        <v>5.9897344126232425E-2</v>
      </c>
    </row>
    <row r="31" spans="1:27" x14ac:dyDescent="0.15">
      <c r="A31" s="15"/>
      <c r="B31" s="15"/>
      <c r="C31" s="15"/>
      <c r="D31" s="15"/>
      <c r="E31" s="15"/>
      <c r="F31" s="15"/>
      <c r="G31" s="26"/>
      <c r="H31" s="15"/>
      <c r="Y31" s="13">
        <f t="shared" si="19"/>
        <v>5.8000000000000025</v>
      </c>
      <c r="Z31" s="13">
        <f t="shared" si="7"/>
        <v>1.1949834107481952E-3</v>
      </c>
      <c r="AA31" s="13">
        <f t="shared" si="20"/>
        <v>3.4469508012573889E-2</v>
      </c>
    </row>
    <row r="32" spans="1:27" x14ac:dyDescent="0.15">
      <c r="A32" s="15"/>
      <c r="B32" s="15"/>
      <c r="C32" s="15"/>
      <c r="D32" s="15"/>
      <c r="E32" s="15"/>
      <c r="F32" s="15"/>
      <c r="G32" s="15"/>
      <c r="H32" s="15"/>
      <c r="Y32" s="13">
        <f t="shared" ref="Y32:Y42" si="21">Y31+$X$2</f>
        <v>6.0000000000000027</v>
      </c>
      <c r="Z32" s="13">
        <f t="shared" si="7"/>
        <v>2.85452645937715E-4</v>
      </c>
      <c r="AA32" s="13">
        <f t="shared" ref="AA32:AA42" si="22">NORMDIST(Y32,$B$9,$B$10,FALSE)</f>
        <v>1.8612465603714264E-2</v>
      </c>
    </row>
    <row r="33" spans="1:27" x14ac:dyDescent="0.15">
      <c r="A33" s="15"/>
      <c r="B33" s="15"/>
      <c r="C33" s="15"/>
      <c r="D33" s="15"/>
      <c r="E33" s="15"/>
      <c r="F33" s="15"/>
      <c r="G33" s="15"/>
      <c r="H33" s="15"/>
      <c r="Y33" s="13">
        <f t="shared" si="21"/>
        <v>6.2000000000000028</v>
      </c>
      <c r="Z33" s="13">
        <f t="shared" si="7"/>
        <v>5.907715474472687E-5</v>
      </c>
      <c r="AA33" s="13">
        <f t="shared" si="22"/>
        <v>9.4300508887945403E-3</v>
      </c>
    </row>
    <row r="34" spans="1:27" x14ac:dyDescent="0.15">
      <c r="A34" s="15"/>
      <c r="B34" s="15"/>
      <c r="C34" s="15"/>
      <c r="D34" s="15"/>
      <c r="E34" s="15"/>
      <c r="F34" s="15"/>
      <c r="G34" s="15"/>
      <c r="H34" s="15"/>
      <c r="Y34" s="13">
        <f t="shared" si="21"/>
        <v>6.400000000000003</v>
      </c>
      <c r="Z34" s="13">
        <f t="shared" si="7"/>
        <v>1.0592985304144333E-5</v>
      </c>
      <c r="AA34" s="13">
        <f t="shared" si="22"/>
        <v>4.4829662507708421E-3</v>
      </c>
    </row>
    <row r="35" spans="1:27" x14ac:dyDescent="0.15">
      <c r="A35" s="15"/>
      <c r="B35" s="15"/>
      <c r="C35" s="15"/>
      <c r="D35" s="15"/>
      <c r="E35" s="15"/>
      <c r="F35" s="15"/>
      <c r="G35" s="15"/>
      <c r="H35" s="15"/>
      <c r="Y35" s="13">
        <f t="shared" si="21"/>
        <v>6.6000000000000032</v>
      </c>
      <c r="Z35" s="13">
        <f t="shared" si="7"/>
        <v>1.6456234595744989E-6</v>
      </c>
      <c r="AA35" s="13">
        <f t="shared" si="22"/>
        <v>1.9996694287773746E-3</v>
      </c>
    </row>
    <row r="36" spans="1:27" x14ac:dyDescent="0.15">
      <c r="A36" s="15"/>
      <c r="B36" s="15"/>
      <c r="C36" s="15"/>
      <c r="D36" s="15"/>
      <c r="E36" s="15"/>
      <c r="F36" s="15"/>
      <c r="G36" s="15"/>
      <c r="H36" s="15"/>
      <c r="Y36" s="13">
        <f t="shared" si="21"/>
        <v>6.8000000000000034</v>
      </c>
      <c r="Z36" s="13">
        <f t="shared" si="7"/>
        <v>2.2149089151646067E-7</v>
      </c>
      <c r="AA36" s="13">
        <f t="shared" si="22"/>
        <v>8.3693600110475912E-4</v>
      </c>
    </row>
    <row r="37" spans="1:27" x14ac:dyDescent="0.15">
      <c r="Y37" s="13">
        <f t="shared" si="21"/>
        <v>7.0000000000000036</v>
      </c>
      <c r="Z37" s="13">
        <f t="shared" si="7"/>
        <v>2.5828225748978177E-8</v>
      </c>
      <c r="AA37" s="13">
        <f t="shared" si="22"/>
        <v>3.2867570022435767E-4</v>
      </c>
    </row>
    <row r="38" spans="1:27" x14ac:dyDescent="0.15">
      <c r="Y38" s="13">
        <f t="shared" si="21"/>
        <v>7.2000000000000037</v>
      </c>
      <c r="Z38" s="13">
        <f t="shared" si="7"/>
        <v>2.6094355649966227E-9</v>
      </c>
      <c r="AA38" s="13">
        <f t="shared" si="22"/>
        <v>1.2111118371542914E-4</v>
      </c>
    </row>
    <row r="39" spans="1:27" x14ac:dyDescent="0.15">
      <c r="I39" s="16"/>
      <c r="Y39" s="13">
        <f t="shared" si="21"/>
        <v>7.4000000000000039</v>
      </c>
      <c r="Z39" s="13">
        <f t="shared" si="7"/>
        <v>2.2840830029640595E-10</v>
      </c>
      <c r="AA39" s="13">
        <f t="shared" si="22"/>
        <v>4.1873783725501736E-5</v>
      </c>
    </row>
    <row r="40" spans="1:27" x14ac:dyDescent="0.15">
      <c r="Y40" s="13">
        <f t="shared" si="21"/>
        <v>7.6000000000000041</v>
      </c>
      <c r="Z40" s="13">
        <f t="shared" si="7"/>
        <v>1.7321699013356469E-11</v>
      </c>
      <c r="AA40" s="13">
        <f t="shared" si="22"/>
        <v>1.3584431467677769E-5</v>
      </c>
    </row>
    <row r="41" spans="1:27" x14ac:dyDescent="0.15">
      <c r="Y41" s="13">
        <f t="shared" si="21"/>
        <v>7.8000000000000043</v>
      </c>
      <c r="Z41" s="13">
        <f t="shared" si="7"/>
        <v>1.138105166789222E-12</v>
      </c>
      <c r="AA41" s="13">
        <f t="shared" si="22"/>
        <v>4.1350620742644825E-6</v>
      </c>
    </row>
    <row r="42" spans="1:27" x14ac:dyDescent="0.15">
      <c r="Y42" s="13">
        <f t="shared" si="21"/>
        <v>8.0000000000000036</v>
      </c>
      <c r="Z42" s="13">
        <f t="shared" si="7"/>
        <v>6.4786960172824795E-14</v>
      </c>
      <c r="AA42" s="13">
        <f t="shared" si="22"/>
        <v>1.1810380902100069E-6</v>
      </c>
    </row>
    <row r="43" spans="1:27" x14ac:dyDescent="0.15">
      <c r="Y43" s="13"/>
      <c r="Z43" s="13"/>
      <c r="AA43" s="13"/>
    </row>
    <row r="44" spans="1:27" x14ac:dyDescent="0.15">
      <c r="Y44" s="13"/>
      <c r="Z44" s="13"/>
      <c r="AA44" s="13"/>
    </row>
    <row r="45" spans="1:27" x14ac:dyDescent="0.15">
      <c r="Y45" s="13"/>
      <c r="Z45" s="13"/>
      <c r="AA45" s="13"/>
    </row>
    <row r="46" spans="1:27" x14ac:dyDescent="0.15">
      <c r="Y46" s="13"/>
      <c r="Z46" s="13"/>
      <c r="AA46" s="13"/>
    </row>
    <row r="47" spans="1:27" x14ac:dyDescent="0.15">
      <c r="Y47" s="13"/>
      <c r="Z47" s="13"/>
      <c r="AA47" s="13"/>
    </row>
    <row r="48" spans="1:27" x14ac:dyDescent="0.15">
      <c r="Y48" s="13"/>
      <c r="Z48" s="13"/>
      <c r="AA48" s="13"/>
    </row>
    <row r="49" spans="25:27" x14ac:dyDescent="0.15">
      <c r="Y49" s="13"/>
      <c r="Z49" s="13"/>
      <c r="AA49" s="13"/>
    </row>
    <row r="50" spans="25:27" x14ac:dyDescent="0.15">
      <c r="Y50" s="13"/>
      <c r="Z50" s="13"/>
      <c r="AA50" s="13"/>
    </row>
    <row r="51" spans="25:27" x14ac:dyDescent="0.15">
      <c r="Y51" s="13"/>
      <c r="Z51" s="13"/>
      <c r="AA51" s="13"/>
    </row>
    <row r="52" spans="25:27" x14ac:dyDescent="0.15">
      <c r="Y52" s="13"/>
      <c r="Z52" s="13"/>
      <c r="AA52" s="13"/>
    </row>
    <row r="53" spans="25:27" x14ac:dyDescent="0.15">
      <c r="Y53" s="13"/>
      <c r="Z53" s="13"/>
      <c r="AA53" s="13"/>
    </row>
    <row r="54" spans="25:27" x14ac:dyDescent="0.15">
      <c r="Y54" s="13"/>
      <c r="Z54" s="13"/>
      <c r="AA54" s="13"/>
    </row>
    <row r="55" spans="25:27" x14ac:dyDescent="0.15">
      <c r="Y55" s="13"/>
      <c r="Z55" s="13"/>
      <c r="AA55" s="13"/>
    </row>
    <row r="56" spans="25:27" x14ac:dyDescent="0.15">
      <c r="Y56" s="13"/>
      <c r="Z56" s="13"/>
      <c r="AA56" s="13"/>
    </row>
    <row r="57" spans="25:27" x14ac:dyDescent="0.15">
      <c r="Y57" s="13"/>
      <c r="Z57" s="13"/>
      <c r="AA57" s="13"/>
    </row>
    <row r="58" spans="25:27" x14ac:dyDescent="0.15">
      <c r="Y58" s="13"/>
      <c r="Z58" s="13"/>
      <c r="AA58" s="13"/>
    </row>
    <row r="59" spans="25:27" x14ac:dyDescent="0.15">
      <c r="Y59" s="13"/>
      <c r="Z59" s="13"/>
      <c r="AA59" s="13"/>
    </row>
    <row r="60" spans="25:27" x14ac:dyDescent="0.15">
      <c r="Y60" s="13"/>
      <c r="Z60" s="13"/>
      <c r="AA60" s="13"/>
    </row>
    <row r="61" spans="25:27" x14ac:dyDescent="0.15">
      <c r="Y61" s="13"/>
      <c r="Z61" s="13"/>
      <c r="AA61" s="13"/>
    </row>
    <row r="62" spans="25:27" x14ac:dyDescent="0.15">
      <c r="Y62" s="13"/>
      <c r="Z62" s="13"/>
      <c r="AA62" s="13"/>
    </row>
    <row r="63" spans="25:27" x14ac:dyDescent="0.15">
      <c r="Y63" s="13"/>
      <c r="Z63" s="13"/>
      <c r="AA63" s="13"/>
    </row>
    <row r="64" spans="25:27" x14ac:dyDescent="0.15">
      <c r="Y64" s="13"/>
      <c r="Z64" s="13"/>
      <c r="AA64" s="13"/>
    </row>
    <row r="65" spans="25:27" x14ac:dyDescent="0.15">
      <c r="Y65" s="13"/>
      <c r="Z65" s="13"/>
      <c r="AA65" s="13"/>
    </row>
    <row r="66" spans="25:27" x14ac:dyDescent="0.15">
      <c r="Y66" s="13"/>
      <c r="Z66" s="13"/>
      <c r="AA66" s="13"/>
    </row>
    <row r="67" spans="25:27" x14ac:dyDescent="0.15">
      <c r="Y67" s="13"/>
      <c r="Z67" s="13"/>
      <c r="AA67" s="13"/>
    </row>
    <row r="68" spans="25:27" x14ac:dyDescent="0.15">
      <c r="Y68" s="13"/>
      <c r="Z68" s="13"/>
      <c r="AA68" s="13"/>
    </row>
    <row r="69" spans="25:27" x14ac:dyDescent="0.15">
      <c r="Y69" s="13"/>
      <c r="Z69" s="13"/>
      <c r="AA69" s="13"/>
    </row>
    <row r="70" spans="25:27" x14ac:dyDescent="0.15">
      <c r="Y70" s="13"/>
      <c r="Z70" s="13"/>
      <c r="AA70" s="13"/>
    </row>
    <row r="71" spans="25:27" x14ac:dyDescent="0.15">
      <c r="Y71" s="13"/>
      <c r="Z71" s="13"/>
      <c r="AA71" s="13"/>
    </row>
    <row r="72" spans="25:27" x14ac:dyDescent="0.15">
      <c r="Y72" s="13"/>
      <c r="Z72" s="13"/>
      <c r="AA72" s="13"/>
    </row>
    <row r="73" spans="25:27" x14ac:dyDescent="0.15">
      <c r="Y73" s="13"/>
      <c r="Z73" s="13"/>
      <c r="AA73" s="13"/>
    </row>
    <row r="74" spans="25:27" x14ac:dyDescent="0.15">
      <c r="Y74" s="13"/>
      <c r="Z74" s="13"/>
      <c r="AA74" s="13"/>
    </row>
    <row r="75" spans="25:27" x14ac:dyDescent="0.15">
      <c r="Y75" s="13"/>
      <c r="Z75" s="13"/>
      <c r="AA75" s="13"/>
    </row>
    <row r="76" spans="25:27" x14ac:dyDescent="0.15">
      <c r="Y76" s="13"/>
      <c r="Z76" s="13"/>
      <c r="AA76" s="13"/>
    </row>
    <row r="77" spans="25:27" x14ac:dyDescent="0.15">
      <c r="Y77" s="13"/>
      <c r="Z77" s="13"/>
      <c r="AA77" s="13"/>
    </row>
    <row r="78" spans="25:27" x14ac:dyDescent="0.15">
      <c r="Y78" s="13"/>
      <c r="Z78" s="13"/>
      <c r="AA78" s="1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2"/>
  <sheetViews>
    <sheetView tabSelected="1" zoomScale="132" zoomScaleNormal="132" zoomScalePageLayoutView="132" workbookViewId="0">
      <selection activeCell="B15" sqref="B15"/>
    </sheetView>
  </sheetViews>
  <sheetFormatPr baseColWidth="10" defaultColWidth="8.83203125" defaultRowHeight="13" x14ac:dyDescent="0.15"/>
  <cols>
    <col min="1" max="1" width="9.83203125" bestFit="1" customWidth="1"/>
    <col min="2" max="2" width="11.6640625" bestFit="1" customWidth="1"/>
    <col min="6" max="6" width="11.6640625" bestFit="1" customWidth="1"/>
    <col min="10" max="10" width="13.5" bestFit="1" customWidth="1"/>
    <col min="20" max="21" width="12.5" bestFit="1" customWidth="1"/>
  </cols>
  <sheetData>
    <row r="1" spans="1:15" x14ac:dyDescent="0.15">
      <c r="A1" s="36" t="s">
        <v>40</v>
      </c>
      <c r="B1" s="42">
        <v>20</v>
      </c>
      <c r="C1" s="36" t="s">
        <v>41</v>
      </c>
    </row>
    <row r="2" spans="1:15" x14ac:dyDescent="0.15">
      <c r="A2" s="36" t="s">
        <v>42</v>
      </c>
      <c r="B2" s="42">
        <v>0</v>
      </c>
      <c r="C2" s="36" t="s">
        <v>43</v>
      </c>
    </row>
    <row r="3" spans="1:15" x14ac:dyDescent="0.15">
      <c r="A3" s="36" t="s">
        <v>44</v>
      </c>
      <c r="B3" s="42">
        <v>120000</v>
      </c>
      <c r="C3" s="36" t="s">
        <v>45</v>
      </c>
    </row>
    <row r="6" spans="1:15" x14ac:dyDescent="0.15">
      <c r="E6" s="36" t="s">
        <v>54</v>
      </c>
      <c r="F6" s="36"/>
      <c r="I6" s="36" t="s">
        <v>31</v>
      </c>
      <c r="J6" s="36" t="s">
        <v>34</v>
      </c>
      <c r="K6" s="36" t="s">
        <v>37</v>
      </c>
    </row>
    <row r="7" spans="1:15" x14ac:dyDescent="0.15">
      <c r="B7" s="14" t="s">
        <v>32</v>
      </c>
      <c r="C7" s="14" t="s">
        <v>33</v>
      </c>
      <c r="E7" s="36" t="s">
        <v>32</v>
      </c>
      <c r="F7" s="36" t="s">
        <v>33</v>
      </c>
      <c r="H7" s="41" t="s">
        <v>36</v>
      </c>
      <c r="I7" s="17">
        <f>2/(B16*B8/B14+F16*B9/F14*2)</f>
        <v>0.13971437426459624</v>
      </c>
      <c r="J7" s="17">
        <f>2*I7</f>
        <v>0.27942874852919247</v>
      </c>
      <c r="K7" s="36"/>
      <c r="L7" s="36" t="s">
        <v>33</v>
      </c>
      <c r="M7" s="36" t="s">
        <v>48</v>
      </c>
      <c r="N7" s="14" t="s">
        <v>56</v>
      </c>
    </row>
    <row r="8" spans="1:15" x14ac:dyDescent="0.15">
      <c r="A8" s="36" t="s">
        <v>31</v>
      </c>
      <c r="B8" s="13">
        <f>'Dados TP2'!T11</f>
        <v>338.57142857142856</v>
      </c>
      <c r="C8" s="13">
        <f>'Dados TP2'!U11</f>
        <v>20.199795692821894</v>
      </c>
      <c r="D8" s="13"/>
      <c r="E8" s="17">
        <f>B8*B10</f>
        <v>1321.5583099123623</v>
      </c>
      <c r="F8" s="17">
        <f>SQRT(B10*C8^2+B8^2*C10^2)</f>
        <v>183.20261456722776</v>
      </c>
      <c r="H8" s="41" t="s">
        <v>60</v>
      </c>
      <c r="I8" s="17">
        <f>1-I7</f>
        <v>0.86028562573540379</v>
      </c>
      <c r="J8" s="17">
        <f>1-J7</f>
        <v>0.72057125147080758</v>
      </c>
      <c r="K8" s="36" t="s">
        <v>31</v>
      </c>
      <c r="L8" s="40">
        <f>NORMINV(I8,E8,F8)</f>
        <v>1519.7108990849215</v>
      </c>
      <c r="M8" s="40">
        <f>L8-E8</f>
        <v>198.15258917255915</v>
      </c>
      <c r="N8" s="13">
        <f>I7*B8/B14*B16</f>
        <v>0.65710330469446476</v>
      </c>
    </row>
    <row r="9" spans="1:15" x14ac:dyDescent="0.15">
      <c r="A9" s="36" t="s">
        <v>34</v>
      </c>
      <c r="B9" s="67">
        <f>'Dados TP2'!T43</f>
        <v>572.63636363636363</v>
      </c>
      <c r="C9" s="13">
        <f>'Dados TP2'!U43</f>
        <v>17.464373135166603</v>
      </c>
      <c r="D9" s="13"/>
      <c r="E9" s="17">
        <f>B9*B10</f>
        <v>2235.1925799373148</v>
      </c>
      <c r="F9" s="17">
        <f>SQRT(B10*C9^2+B9^2*C10^2)</f>
        <v>304.37707570461134</v>
      </c>
      <c r="H9" s="41"/>
      <c r="K9" s="36" t="s">
        <v>34</v>
      </c>
      <c r="L9" s="40">
        <f>NORMINV(J8,E9,F9)</f>
        <v>2413.1129587758574</v>
      </c>
      <c r="M9" s="40">
        <f>L9-E9</f>
        <v>177.92037883854255</v>
      </c>
      <c r="N9" s="13">
        <f>J7*B9/F14*F16</f>
        <v>1.3428966953055355</v>
      </c>
    </row>
    <row r="10" spans="1:15" x14ac:dyDescent="0.15">
      <c r="A10" s="14" t="s">
        <v>35</v>
      </c>
      <c r="B10" s="13">
        <f>prazo_entrega!$B$27</f>
        <v>3.9033367803318719</v>
      </c>
      <c r="C10" s="13">
        <f>prazo_entrega!$B$28</f>
        <v>0.52811012537178648</v>
      </c>
      <c r="D10" s="13"/>
      <c r="E10" s="13"/>
      <c r="K10" s="36"/>
      <c r="L10" s="36"/>
      <c r="M10" s="41" t="s">
        <v>57</v>
      </c>
      <c r="N10" s="17">
        <f>SUM(N8:N9)</f>
        <v>2</v>
      </c>
    </row>
    <row r="13" spans="1:15" x14ac:dyDescent="0.15">
      <c r="A13" s="36" t="s">
        <v>31</v>
      </c>
      <c r="E13" s="36" t="s">
        <v>34</v>
      </c>
      <c r="I13" s="36" t="s">
        <v>47</v>
      </c>
      <c r="J13" s="42">
        <f>B16*B15+F15*F16</f>
        <v>2471423.5877230866</v>
      </c>
      <c r="K13" s="36" t="s">
        <v>50</v>
      </c>
    </row>
    <row r="14" spans="1:15" x14ac:dyDescent="0.15">
      <c r="A14" s="36" t="s">
        <v>39</v>
      </c>
      <c r="B14" s="40">
        <f>SQRT(2*B8*c_3/c_1)</f>
        <v>2015.6530313665451</v>
      </c>
      <c r="C14" s="36" t="s">
        <v>46</v>
      </c>
      <c r="E14" s="36" t="s">
        <v>39</v>
      </c>
      <c r="F14" s="40">
        <f>SQRT(2*B9*c_3/c_1)</f>
        <v>2621.3806216641574</v>
      </c>
      <c r="G14" s="36" t="s">
        <v>46</v>
      </c>
      <c r="M14" s="14"/>
      <c r="N14" s="13"/>
    </row>
    <row r="15" spans="1:15" x14ac:dyDescent="0.15">
      <c r="A15" s="36" t="s">
        <v>47</v>
      </c>
      <c r="B15" s="42">
        <f>c_1*(B14/2+L8-E8)+c_3*B8/B14</f>
        <v>44276.112410782087</v>
      </c>
      <c r="C15" s="36" t="s">
        <v>41</v>
      </c>
      <c r="E15" s="36" t="s">
        <v>47</v>
      </c>
      <c r="F15" s="42">
        <f>c_1*(F14/2+L9-E9)+c_3*B9/F14</f>
        <v>55986.020010054002</v>
      </c>
      <c r="G15" s="36" t="s">
        <v>41</v>
      </c>
      <c r="M15" s="14"/>
      <c r="N15" s="13"/>
    </row>
    <row r="16" spans="1:15" x14ac:dyDescent="0.15">
      <c r="A16" s="36" t="s">
        <v>49</v>
      </c>
      <c r="B16" s="36">
        <v>28</v>
      </c>
      <c r="E16" s="36" t="s">
        <v>49</v>
      </c>
      <c r="F16" s="36">
        <v>22</v>
      </c>
      <c r="M16" s="14"/>
      <c r="O16" s="36"/>
    </row>
    <row r="17" spans="1:15" x14ac:dyDescent="0.15">
      <c r="A17" s="36"/>
      <c r="B17" s="36"/>
      <c r="E17" s="36"/>
      <c r="F17" s="36"/>
      <c r="M17" s="14"/>
    </row>
    <row r="18" spans="1:15" x14ac:dyDescent="0.15">
      <c r="A18" s="36" t="s">
        <v>55</v>
      </c>
      <c r="B18" s="42">
        <f>c_1*(B14/2)+c_3*B8/B14</f>
        <v>40313.060627330902</v>
      </c>
      <c r="E18" s="36" t="s">
        <v>55</v>
      </c>
      <c r="F18" s="42">
        <f>c_1*(F14/2)+c_3*B9/F14</f>
        <v>52427.612433283146</v>
      </c>
      <c r="I18" s="36" t="s">
        <v>55</v>
      </c>
      <c r="J18" s="42">
        <f>B16*B18+F18*F16</f>
        <v>2282173.1710974947</v>
      </c>
    </row>
    <row r="19" spans="1:15" x14ac:dyDescent="0.15">
      <c r="A19" s="36"/>
      <c r="B19" s="36"/>
      <c r="E19" s="36"/>
      <c r="F19" s="36"/>
    </row>
    <row r="20" spans="1:15" x14ac:dyDescent="0.15">
      <c r="A20" s="36"/>
      <c r="B20" s="36"/>
      <c r="E20" s="36"/>
      <c r="F20" s="36"/>
    </row>
    <row r="21" spans="1:15" x14ac:dyDescent="0.15">
      <c r="A21" s="36"/>
      <c r="B21" s="36"/>
      <c r="E21" s="36"/>
      <c r="F21" s="36"/>
    </row>
    <row r="23" spans="1:15" x14ac:dyDescent="0.15">
      <c r="A23" s="68" t="s">
        <v>53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</row>
    <row r="24" spans="1:15" x14ac:dyDescent="0.15">
      <c r="A24" s="68" t="s">
        <v>51</v>
      </c>
      <c r="B24" s="61"/>
      <c r="C24" s="61"/>
      <c r="D24" s="61"/>
      <c r="E24" s="61"/>
      <c r="F24" s="61"/>
      <c r="G24" s="61"/>
      <c r="H24" s="61"/>
      <c r="I24" s="68" t="s">
        <v>31</v>
      </c>
      <c r="J24" s="68" t="s">
        <v>34</v>
      </c>
      <c r="K24" s="61"/>
      <c r="L24" s="69" t="s">
        <v>33</v>
      </c>
      <c r="M24" s="68" t="s">
        <v>48</v>
      </c>
      <c r="N24" s="69" t="s">
        <v>56</v>
      </c>
    </row>
    <row r="25" spans="1:15" x14ac:dyDescent="0.15">
      <c r="A25" s="68" t="s">
        <v>31</v>
      </c>
      <c r="B25" s="61"/>
      <c r="C25" s="61"/>
      <c r="D25" s="61"/>
      <c r="E25" s="68" t="s">
        <v>34</v>
      </c>
      <c r="F25" s="61"/>
      <c r="G25" s="61"/>
      <c r="H25" s="70" t="s">
        <v>36</v>
      </c>
      <c r="I25" s="71">
        <f>1-NORMDIST(L25,E8,F8,TRUE)</f>
        <v>0.96038795242472608</v>
      </c>
      <c r="J25" s="71">
        <f>1-NORMDIST(L25,E9,F9,TRUE)</f>
        <v>0.9999752631973009</v>
      </c>
      <c r="K25" s="68" t="s">
        <v>31</v>
      </c>
      <c r="L25" s="68">
        <v>1000</v>
      </c>
      <c r="M25" s="72">
        <f>L25-E8</f>
        <v>-321.55830991236235</v>
      </c>
      <c r="N25" s="73">
        <f>I25*B8/B26*B28</f>
        <v>7.5870648241553349</v>
      </c>
      <c r="O25" s="14"/>
    </row>
    <row r="26" spans="1:15" x14ac:dyDescent="0.15">
      <c r="A26" s="68" t="s">
        <v>52</v>
      </c>
      <c r="B26" s="68">
        <v>1200</v>
      </c>
      <c r="C26" s="68" t="s">
        <v>46</v>
      </c>
      <c r="D26" s="61"/>
      <c r="E26" s="68" t="s">
        <v>52</v>
      </c>
      <c r="F26" s="68">
        <v>1200</v>
      </c>
      <c r="G26" s="68" t="s">
        <v>46</v>
      </c>
      <c r="H26" s="61"/>
      <c r="I26" s="61"/>
      <c r="J26" s="61"/>
      <c r="K26" s="68" t="s">
        <v>34</v>
      </c>
      <c r="L26" s="68">
        <v>1000</v>
      </c>
      <c r="M26" s="72">
        <f>L26-E9</f>
        <v>-1235.1925799373148</v>
      </c>
      <c r="N26" s="73">
        <f>B9/F26*F28*J25</f>
        <v>10.498073638132997</v>
      </c>
    </row>
    <row r="27" spans="1:15" x14ac:dyDescent="0.15">
      <c r="A27" s="68" t="s">
        <v>47</v>
      </c>
      <c r="B27" s="74">
        <f>IF(M25&gt;0,c_1*(B26/2+L25-E8)+c_3*B8/B26,c_1*(B26/2)+c_3*B8/B26)</f>
        <v>45857.142857142855</v>
      </c>
      <c r="C27" s="68" t="s">
        <v>41</v>
      </c>
      <c r="D27" s="61"/>
      <c r="E27" s="68" t="s">
        <v>47</v>
      </c>
      <c r="F27" s="74">
        <f>IF(M26&gt;0,c_1*(B26/2+L26-E9)+c_3*B9/B26,c_1*(B26/2)+c_3*B9/B26)</f>
        <v>69263.636363636368</v>
      </c>
      <c r="G27" s="68" t="s">
        <v>41</v>
      </c>
      <c r="H27" s="70"/>
      <c r="I27" s="61"/>
      <c r="J27" s="61"/>
      <c r="K27" s="61"/>
      <c r="L27" s="61"/>
      <c r="M27" s="70" t="s">
        <v>57</v>
      </c>
      <c r="N27" s="71">
        <f>SUM(N25:N26)</f>
        <v>18.085138462288331</v>
      </c>
    </row>
    <row r="28" spans="1:15" x14ac:dyDescent="0.15">
      <c r="A28" s="68" t="s">
        <v>49</v>
      </c>
      <c r="B28" s="68">
        <v>28</v>
      </c>
      <c r="C28" s="61"/>
      <c r="D28" s="61"/>
      <c r="E28" s="68" t="s">
        <v>49</v>
      </c>
      <c r="F28" s="68">
        <v>22</v>
      </c>
      <c r="G28" s="61"/>
      <c r="H28" s="61"/>
      <c r="I28" s="61"/>
      <c r="J28" s="61"/>
      <c r="K28" s="61"/>
      <c r="L28" s="61"/>
      <c r="M28" s="61"/>
      <c r="N28" s="61"/>
    </row>
    <row r="29" spans="1:15" x14ac:dyDescent="0.15">
      <c r="A29" s="61"/>
      <c r="B29" s="61"/>
      <c r="C29" s="61"/>
      <c r="D29" s="61"/>
      <c r="E29" s="61"/>
      <c r="F29" s="61"/>
      <c r="G29" s="61"/>
      <c r="H29" s="61"/>
      <c r="I29" s="68" t="s">
        <v>47</v>
      </c>
      <c r="J29" s="74">
        <f>B28*B27+F27*F28</f>
        <v>2807800</v>
      </c>
      <c r="K29" s="68" t="s">
        <v>50</v>
      </c>
      <c r="L29" s="61"/>
      <c r="M29" s="61"/>
      <c r="N29" s="61"/>
    </row>
    <row r="30" spans="1:15" x14ac:dyDescent="0.1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</row>
    <row r="31" spans="1:15" x14ac:dyDescent="0.15">
      <c r="A31" s="68" t="s">
        <v>55</v>
      </c>
      <c r="B31" s="74">
        <f>c_1*(B26/2)+c_3*B8/B26</f>
        <v>45857.142857142855</v>
      </c>
      <c r="C31" s="61"/>
      <c r="D31" s="61"/>
      <c r="E31" s="68" t="s">
        <v>55</v>
      </c>
      <c r="F31" s="74">
        <f>c_1*(B26/2)+c_3*B9/B26</f>
        <v>69263.636363636368</v>
      </c>
      <c r="G31" s="61"/>
      <c r="H31" s="61"/>
      <c r="I31" s="68" t="s">
        <v>47</v>
      </c>
      <c r="J31" s="74">
        <f>B28*B31+F31*F28</f>
        <v>2807800</v>
      </c>
      <c r="K31" s="61"/>
      <c r="L31" s="61"/>
      <c r="M31" s="61"/>
      <c r="N31" s="61"/>
    </row>
    <row r="32" spans="1:15" x14ac:dyDescent="0.1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3" x14ac:dyDescent="0.1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3" x14ac:dyDescent="0.1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3" x14ac:dyDescent="0.1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81"/>
  <sheetViews>
    <sheetView workbookViewId="0">
      <selection activeCell="H8" sqref="H8"/>
    </sheetView>
  </sheetViews>
  <sheetFormatPr baseColWidth="10" defaultColWidth="8.83203125" defaultRowHeight="13" x14ac:dyDescent="0.15"/>
  <cols>
    <col min="1" max="1" width="9.83203125" bestFit="1" customWidth="1"/>
    <col min="2" max="2" width="11.6640625" bestFit="1" customWidth="1"/>
    <col min="6" max="6" width="10.6640625" bestFit="1" customWidth="1"/>
    <col min="10" max="10" width="13.5" bestFit="1" customWidth="1"/>
    <col min="16" max="16" width="8.83203125" style="46"/>
    <col min="17" max="18" width="12.5" bestFit="1" customWidth="1"/>
    <col min="19" max="19" width="12.5" customWidth="1"/>
    <col min="26" max="26" width="10.5" bestFit="1" customWidth="1"/>
  </cols>
  <sheetData>
    <row r="1" spans="1:32" x14ac:dyDescent="0.15">
      <c r="A1" s="36" t="s">
        <v>40</v>
      </c>
      <c r="B1" s="42">
        <v>20</v>
      </c>
      <c r="C1" s="36" t="s">
        <v>41</v>
      </c>
    </row>
    <row r="2" spans="1:32" x14ac:dyDescent="0.15">
      <c r="A2" s="36" t="s">
        <v>42</v>
      </c>
      <c r="B2" s="42">
        <v>0</v>
      </c>
      <c r="C2" s="36" t="s">
        <v>43</v>
      </c>
      <c r="R2" s="48">
        <v>441.56</v>
      </c>
    </row>
    <row r="3" spans="1:32" x14ac:dyDescent="0.15">
      <c r="A3" s="36" t="s">
        <v>44</v>
      </c>
      <c r="B3" s="42">
        <v>120000</v>
      </c>
      <c r="C3" s="36" t="s">
        <v>45</v>
      </c>
      <c r="Q3" s="48"/>
      <c r="R3" s="48">
        <v>118.87139999999999</v>
      </c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</row>
    <row r="4" spans="1:32" ht="18" x14ac:dyDescent="0.2">
      <c r="Q4" s="48"/>
      <c r="R4" s="48"/>
      <c r="S4" s="48"/>
      <c r="T4" s="76" t="s">
        <v>75</v>
      </c>
      <c r="U4" s="77"/>
      <c r="V4" s="77"/>
      <c r="W4" s="77"/>
      <c r="X4" s="77"/>
      <c r="Y4" s="77"/>
      <c r="Z4" s="77"/>
      <c r="AA4" s="77"/>
      <c r="AB4" s="48"/>
      <c r="AC4" s="48"/>
      <c r="AD4" s="48"/>
      <c r="AE4" s="48"/>
      <c r="AF4" s="48"/>
    </row>
    <row r="5" spans="1:32" x14ac:dyDescent="0.15"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x14ac:dyDescent="0.15">
      <c r="E6" s="36" t="s">
        <v>54</v>
      </c>
      <c r="F6" s="36"/>
      <c r="I6" s="36" t="s">
        <v>31</v>
      </c>
      <c r="J6" s="36" t="s">
        <v>34</v>
      </c>
      <c r="K6" s="36" t="s">
        <v>37</v>
      </c>
      <c r="O6" s="48"/>
      <c r="P6" s="60"/>
      <c r="Q6" s="48"/>
      <c r="AE6" s="48"/>
      <c r="AF6" s="48"/>
    </row>
    <row r="7" spans="1:32" x14ac:dyDescent="0.15">
      <c r="B7" s="14" t="s">
        <v>32</v>
      </c>
      <c r="C7" s="14" t="s">
        <v>33</v>
      </c>
      <c r="E7" s="36" t="s">
        <v>32</v>
      </c>
      <c r="F7" s="36" t="s">
        <v>33</v>
      </c>
      <c r="H7" s="41" t="s">
        <v>36</v>
      </c>
      <c r="I7" s="17">
        <f>2/(B16*B8/B14+F16*B9/F14*2)</f>
        <v>0.13634726803677813</v>
      </c>
      <c r="J7" s="17">
        <f>2*I7</f>
        <v>0.27269453607355626</v>
      </c>
      <c r="K7" s="36"/>
      <c r="L7" s="36" t="s">
        <v>33</v>
      </c>
      <c r="M7" s="36" t="s">
        <v>48</v>
      </c>
      <c r="N7" s="14" t="s">
        <v>56</v>
      </c>
      <c r="O7" s="48"/>
      <c r="P7" s="60"/>
      <c r="Q7" s="48"/>
      <c r="V7" s="36" t="s">
        <v>54</v>
      </c>
      <c r="W7" s="36"/>
      <c r="Z7" s="36" t="s">
        <v>31</v>
      </c>
      <c r="AA7" s="36" t="s">
        <v>37</v>
      </c>
      <c r="AE7" s="48"/>
      <c r="AF7" s="48"/>
    </row>
    <row r="8" spans="1:32" x14ac:dyDescent="0.15">
      <c r="A8" s="36" t="s">
        <v>31</v>
      </c>
      <c r="B8" s="13">
        <f>'Dados TP2'!T12</f>
        <v>355.5</v>
      </c>
      <c r="C8" s="13">
        <f>'Dados TP2'!U12</f>
        <v>18.297767432250065</v>
      </c>
      <c r="D8" s="13"/>
      <c r="E8" s="17">
        <f>B8*B10</f>
        <v>1387.6362254079804</v>
      </c>
      <c r="F8" s="17">
        <f>SQRT(B10*C8^2+B8^2*C10^2)</f>
        <v>191.19194474345653</v>
      </c>
      <c r="H8" s="41" t="s">
        <v>60</v>
      </c>
      <c r="I8" s="17">
        <f>1-I7</f>
        <v>0.8636527319632219</v>
      </c>
      <c r="J8" s="17">
        <f>1-J7</f>
        <v>0.7273054639264438</v>
      </c>
      <c r="K8" s="36" t="s">
        <v>31</v>
      </c>
      <c r="L8" s="40">
        <f>NORMINV(I8,E8,F8)</f>
        <v>1597.3505468964431</v>
      </c>
      <c r="M8" s="40">
        <f>L8-E8</f>
        <v>209.7143214884627</v>
      </c>
      <c r="N8" s="13">
        <f>I7*B8/B14*B16</f>
        <v>0.65710330469446465</v>
      </c>
      <c r="O8" s="48"/>
      <c r="P8" s="60"/>
      <c r="Q8" s="48"/>
      <c r="S8" s="14" t="s">
        <v>32</v>
      </c>
      <c r="T8" s="14" t="s">
        <v>33</v>
      </c>
      <c r="V8" s="36" t="s">
        <v>32</v>
      </c>
      <c r="W8" s="36" t="s">
        <v>33</v>
      </c>
      <c r="Y8" s="41" t="s">
        <v>36</v>
      </c>
      <c r="Z8" s="17">
        <f>2/(S19*(S9/S17))</f>
        <v>0.20349844851307505</v>
      </c>
      <c r="AA8" s="36"/>
      <c r="AB8" s="36" t="s">
        <v>33</v>
      </c>
      <c r="AC8" s="36" t="s">
        <v>48</v>
      </c>
      <c r="AD8" s="14"/>
      <c r="AE8" s="48"/>
      <c r="AF8" s="48"/>
    </row>
    <row r="9" spans="1:32" x14ac:dyDescent="0.15">
      <c r="A9" s="36" t="s">
        <v>34</v>
      </c>
      <c r="B9" s="13">
        <f>'Dados TP2'!T44</f>
        <v>601.2681818181818</v>
      </c>
      <c r="C9" s="13">
        <f>'Dados TP2'!U44</f>
        <v>17.335915982894317</v>
      </c>
      <c r="D9" s="13"/>
      <c r="E9" s="17">
        <f>B9*B10</f>
        <v>2346.9522089341804</v>
      </c>
      <c r="F9" s="17">
        <f>SQRT(B10*C9^2+B9^2*C10^2)</f>
        <v>319.37764336638912</v>
      </c>
      <c r="K9" s="36" t="s">
        <v>34</v>
      </c>
      <c r="L9" s="40">
        <f>NORMINV(J8,E9,F9)</f>
        <v>2540.0747161498107</v>
      </c>
      <c r="M9" s="40">
        <f>L9-E9</f>
        <v>193.12250721563032</v>
      </c>
      <c r="N9" s="13">
        <f>J7*B9/F14*F16</f>
        <v>1.3428966953055355</v>
      </c>
      <c r="O9" s="48"/>
      <c r="P9" s="60"/>
      <c r="Q9" s="48"/>
      <c r="R9" s="36" t="s">
        <v>71</v>
      </c>
      <c r="S9" s="13">
        <f>1.05*R2</f>
        <v>463.63800000000003</v>
      </c>
      <c r="T9" s="13">
        <f>R3</f>
        <v>118.87139999999999</v>
      </c>
      <c r="U9" s="13"/>
      <c r="V9" s="17">
        <f>S9*S10</f>
        <v>1809.7352581595085</v>
      </c>
      <c r="W9" s="17">
        <f>SQRT(S10*T9^2+S9^2*T10^2)</f>
        <v>339.27601139607998</v>
      </c>
      <c r="Y9" s="41" t="s">
        <v>60</v>
      </c>
      <c r="Z9" s="17">
        <f>1-Z8</f>
        <v>0.79650155148692492</v>
      </c>
      <c r="AA9" s="36"/>
      <c r="AB9" s="40">
        <f>NORMINV(Z9,V9,W9)</f>
        <v>2091.0595374193454</v>
      </c>
      <c r="AC9" s="40">
        <f>AB9-V9</f>
        <v>281.32427925983689</v>
      </c>
      <c r="AD9" s="13"/>
      <c r="AE9" s="48"/>
      <c r="AF9" s="48"/>
    </row>
    <row r="10" spans="1:32" x14ac:dyDescent="0.15">
      <c r="A10" s="14" t="s">
        <v>35</v>
      </c>
      <c r="B10" s="13">
        <f>prazo_entrega!$B$27</f>
        <v>3.9033367803318719</v>
      </c>
      <c r="C10" s="13">
        <f>prazo_entrega!$B$28</f>
        <v>0.52811012537178648</v>
      </c>
      <c r="D10" s="13"/>
      <c r="E10" s="13"/>
      <c r="K10" s="36"/>
      <c r="L10" s="36"/>
      <c r="M10" s="41" t="s">
        <v>57</v>
      </c>
      <c r="N10" s="17">
        <f>SUM(N8:N9)</f>
        <v>2</v>
      </c>
      <c r="O10" s="48"/>
      <c r="P10" s="60"/>
      <c r="Q10" s="48"/>
      <c r="R10" s="14" t="s">
        <v>35</v>
      </c>
      <c r="S10" s="13">
        <f>prazo_entrega!$B$27</f>
        <v>3.9033367803318719</v>
      </c>
      <c r="T10" s="13">
        <f>prazo_entrega!$B$28</f>
        <v>0.52811012537178648</v>
      </c>
      <c r="U10" s="13"/>
      <c r="V10" s="13"/>
      <c r="W10" s="14"/>
      <c r="X10" s="14"/>
      <c r="Y10" s="14"/>
      <c r="Z10" s="14"/>
      <c r="AA10" s="36"/>
      <c r="AB10" s="36"/>
      <c r="AC10" s="41"/>
      <c r="AD10" s="17"/>
      <c r="AE10" s="48"/>
      <c r="AF10" s="48"/>
    </row>
    <row r="11" spans="1:32" x14ac:dyDescent="0.15">
      <c r="O11" s="48"/>
      <c r="P11" s="60"/>
      <c r="Q11" s="48"/>
      <c r="W11" s="14"/>
      <c r="X11" s="14"/>
      <c r="Y11" s="14"/>
      <c r="Z11" s="14"/>
      <c r="AA11" s="14"/>
      <c r="AB11" s="14"/>
      <c r="AC11" s="14"/>
      <c r="AD11" s="14"/>
      <c r="AE11" s="48"/>
      <c r="AF11" s="48"/>
    </row>
    <row r="12" spans="1:32" x14ac:dyDescent="0.15">
      <c r="O12" s="48"/>
      <c r="P12" s="60"/>
      <c r="Q12" s="48"/>
      <c r="W12" s="14"/>
      <c r="X12" s="14"/>
      <c r="Y12" s="14"/>
      <c r="Z12" s="14"/>
      <c r="AA12" s="14"/>
      <c r="AB12" s="14"/>
      <c r="AC12" s="14"/>
      <c r="AD12" s="14"/>
      <c r="AE12" s="48"/>
      <c r="AF12" s="48"/>
    </row>
    <row r="13" spans="1:32" x14ac:dyDescent="0.15">
      <c r="A13" s="36" t="s">
        <v>31</v>
      </c>
      <c r="E13" s="36" t="s">
        <v>34</v>
      </c>
      <c r="I13" s="36" t="s">
        <v>47</v>
      </c>
      <c r="J13" s="42">
        <f>B16*B15+F15*F16</f>
        <v>2540945.535571408</v>
      </c>
      <c r="K13" s="36" t="s">
        <v>50</v>
      </c>
      <c r="O13" s="48"/>
      <c r="P13" s="60"/>
      <c r="Q13" s="48"/>
      <c r="W13" s="14"/>
      <c r="X13" s="14"/>
      <c r="Y13" s="14"/>
      <c r="Z13" s="14"/>
      <c r="AA13" s="14"/>
      <c r="AB13" s="14"/>
      <c r="AC13" s="14"/>
      <c r="AD13" s="14"/>
      <c r="AE13" s="48"/>
      <c r="AF13" s="48"/>
    </row>
    <row r="14" spans="1:32" x14ac:dyDescent="0.15">
      <c r="A14" s="36" t="s">
        <v>39</v>
      </c>
      <c r="B14" s="40">
        <f>SQRT(2*B8*c_3/c_1)</f>
        <v>2065.4297373670206</v>
      </c>
      <c r="C14" s="36" t="s">
        <v>46</v>
      </c>
      <c r="E14" s="36" t="s">
        <v>39</v>
      </c>
      <c r="F14" s="40">
        <f>SQRT(2*B9*c_3/c_1)</f>
        <v>2686.1158169033183</v>
      </c>
      <c r="G14" s="36" t="s">
        <v>46</v>
      </c>
      <c r="O14" s="48"/>
      <c r="P14" s="60"/>
      <c r="Q14" s="48"/>
      <c r="V14" s="48"/>
      <c r="W14" s="14"/>
      <c r="X14" s="14"/>
      <c r="Y14" s="14"/>
      <c r="Z14" s="14"/>
      <c r="AA14" s="14"/>
      <c r="AB14" s="14"/>
      <c r="AC14" s="14"/>
      <c r="AD14" s="14"/>
      <c r="AE14" s="48"/>
      <c r="AF14" s="48"/>
    </row>
    <row r="15" spans="1:32" x14ac:dyDescent="0.15">
      <c r="A15" s="36" t="s">
        <v>47</v>
      </c>
      <c r="B15" s="42">
        <f>c_1*(B14/2+L8-E8)+c_3*B8/B14</f>
        <v>45502.881177109666</v>
      </c>
      <c r="C15" s="36" t="s">
        <v>41</v>
      </c>
      <c r="E15" s="36" t="s">
        <v>47</v>
      </c>
      <c r="F15" s="42">
        <f>c_1*(F14/2+L9-E9)+c_3*B9/F14</f>
        <v>57584.766482378967</v>
      </c>
      <c r="G15" s="36" t="s">
        <v>41</v>
      </c>
      <c r="O15" s="48"/>
      <c r="P15" s="60"/>
      <c r="Q15" s="48"/>
      <c r="V15" s="48"/>
      <c r="W15" s="14"/>
      <c r="X15" s="14"/>
      <c r="Y15" s="14"/>
      <c r="Z15" s="14"/>
      <c r="AA15" s="14"/>
      <c r="AB15" s="14"/>
      <c r="AC15" s="14"/>
      <c r="AD15" s="14"/>
    </row>
    <row r="16" spans="1:32" x14ac:dyDescent="0.15">
      <c r="A16" s="36" t="s">
        <v>49</v>
      </c>
      <c r="B16" s="36">
        <v>28</v>
      </c>
      <c r="E16" s="36" t="s">
        <v>49</v>
      </c>
      <c r="F16" s="36">
        <v>22</v>
      </c>
      <c r="O16" s="48"/>
      <c r="P16" s="60"/>
      <c r="Q16" s="48"/>
      <c r="R16" s="36" t="s">
        <v>31</v>
      </c>
      <c r="V16" s="48"/>
      <c r="W16" s="14"/>
      <c r="X16" s="14"/>
      <c r="AB16" s="14"/>
      <c r="AC16" s="14"/>
      <c r="AD16" s="14"/>
    </row>
    <row r="17" spans="1:30" x14ac:dyDescent="0.15">
      <c r="A17" s="36"/>
      <c r="B17" s="36"/>
      <c r="E17" s="36"/>
      <c r="F17" s="36"/>
      <c r="O17" s="48"/>
      <c r="P17" s="60"/>
      <c r="Q17" s="48"/>
      <c r="R17" s="36" t="s">
        <v>39</v>
      </c>
      <c r="S17" s="40">
        <f>SQRT(2*S9*c_3/c_1)</f>
        <v>2358.7403417926275</v>
      </c>
      <c r="T17" s="36" t="s">
        <v>46</v>
      </c>
      <c r="V17" s="48"/>
      <c r="W17" s="14"/>
      <c r="X17" s="14"/>
      <c r="AB17" s="14"/>
      <c r="AC17" s="14"/>
      <c r="AD17" s="14"/>
    </row>
    <row r="18" spans="1:30" x14ac:dyDescent="0.15">
      <c r="A18" s="36" t="s">
        <v>55</v>
      </c>
      <c r="B18" s="42">
        <f>c_1*(B14/2)+c_3*B8/B14</f>
        <v>41308.594747340409</v>
      </c>
      <c r="E18" s="36" t="s">
        <v>55</v>
      </c>
      <c r="F18" s="42">
        <f>c_1*(F14/2)+c_3*B9/F14</f>
        <v>53722.316338066368</v>
      </c>
      <c r="I18" s="36" t="s">
        <v>55</v>
      </c>
      <c r="J18" s="42">
        <f>B16*B18+F18*F16</f>
        <v>2338531.6123629916</v>
      </c>
      <c r="O18" s="48"/>
      <c r="P18" s="60"/>
      <c r="Q18" s="48"/>
      <c r="R18" s="36"/>
      <c r="S18" s="42"/>
      <c r="T18" s="36"/>
      <c r="V18" s="48"/>
      <c r="W18" s="14"/>
      <c r="X18" s="14"/>
      <c r="AB18" s="14"/>
      <c r="AC18" s="14"/>
      <c r="AD18" s="14"/>
    </row>
    <row r="19" spans="1:30" x14ac:dyDescent="0.15">
      <c r="A19" s="36"/>
      <c r="B19" s="36"/>
      <c r="E19" s="36"/>
      <c r="F19" s="36"/>
      <c r="O19" s="48"/>
      <c r="P19" s="60"/>
      <c r="Q19" s="48"/>
      <c r="R19" s="36" t="s">
        <v>49</v>
      </c>
      <c r="S19" s="36">
        <v>50</v>
      </c>
      <c r="V19" s="48"/>
      <c r="W19" s="14"/>
      <c r="X19" s="14"/>
      <c r="AB19" s="14"/>
      <c r="AC19" s="14"/>
      <c r="AD19" s="14"/>
    </row>
    <row r="20" spans="1:30" x14ac:dyDescent="0.15">
      <c r="A20" s="36"/>
      <c r="B20" s="36"/>
      <c r="C20" s="14"/>
      <c r="E20" s="36"/>
      <c r="F20" s="36"/>
      <c r="O20" s="48"/>
      <c r="P20" s="60"/>
      <c r="Q20" s="48"/>
      <c r="R20" s="36"/>
      <c r="S20" s="36"/>
      <c r="V20" s="48"/>
      <c r="W20" s="14"/>
      <c r="X20" s="14"/>
      <c r="Y20" s="14"/>
      <c r="Z20" s="14"/>
      <c r="AA20" s="14"/>
      <c r="AB20" s="14"/>
      <c r="AC20" s="14"/>
      <c r="AD20" s="14"/>
    </row>
    <row r="21" spans="1:30" x14ac:dyDescent="0.15">
      <c r="A21" s="36"/>
      <c r="B21" s="36"/>
      <c r="E21" s="36"/>
      <c r="F21" s="36"/>
      <c r="O21" s="48"/>
      <c r="P21" s="60"/>
      <c r="Q21" s="48"/>
      <c r="R21" s="42"/>
      <c r="U21" s="48"/>
      <c r="V21" s="48"/>
      <c r="W21" s="14"/>
      <c r="X21" s="14"/>
      <c r="Y21" s="14"/>
      <c r="Z21" s="14"/>
      <c r="AA21" s="14"/>
      <c r="AB21" s="14"/>
      <c r="AC21" s="14"/>
      <c r="AD21" s="14"/>
    </row>
    <row r="22" spans="1:30" x14ac:dyDescent="0.15">
      <c r="O22" s="48"/>
      <c r="P22" s="60"/>
      <c r="Q22" s="48"/>
      <c r="R22" s="36"/>
      <c r="S22" s="36"/>
      <c r="V22" s="48"/>
      <c r="W22" s="14"/>
      <c r="X22" s="14"/>
      <c r="Y22" s="14"/>
      <c r="Z22" s="14"/>
      <c r="AA22" s="14"/>
      <c r="AB22" s="14"/>
      <c r="AC22" s="14"/>
      <c r="AD22" s="14"/>
    </row>
    <row r="23" spans="1:30" x14ac:dyDescent="0.15">
      <c r="A23" s="36" t="s">
        <v>53</v>
      </c>
      <c r="O23" s="48"/>
      <c r="P23" s="60"/>
      <c r="Q23" s="48"/>
      <c r="R23" s="48"/>
      <c r="S23" s="48"/>
      <c r="T23" s="48"/>
      <c r="U23" s="48"/>
      <c r="V23" s="48"/>
      <c r="W23" s="14"/>
      <c r="X23" s="14"/>
      <c r="Y23" s="14"/>
      <c r="Z23" s="14"/>
      <c r="AA23" s="14"/>
      <c r="AB23" s="14"/>
      <c r="AC23" s="14"/>
      <c r="AD23" s="14"/>
    </row>
    <row r="24" spans="1:30" x14ac:dyDescent="0.15">
      <c r="A24" s="36" t="s">
        <v>51</v>
      </c>
      <c r="I24" s="36" t="s">
        <v>31</v>
      </c>
      <c r="J24" s="36" t="s">
        <v>34</v>
      </c>
      <c r="L24" s="14" t="s">
        <v>33</v>
      </c>
      <c r="M24" s="36" t="s">
        <v>48</v>
      </c>
      <c r="N24" s="14" t="s">
        <v>56</v>
      </c>
      <c r="O24" s="48"/>
      <c r="P24" s="60"/>
      <c r="Q24" s="48"/>
      <c r="R24" s="48"/>
      <c r="S24" s="48"/>
      <c r="T24" s="48"/>
      <c r="U24" s="48"/>
      <c r="V24" s="48"/>
      <c r="W24" s="14"/>
      <c r="X24" s="14"/>
      <c r="Y24" s="14"/>
      <c r="Z24" s="14"/>
      <c r="AA24" s="14"/>
      <c r="AB24" s="14"/>
      <c r="AC24" s="14"/>
      <c r="AD24" s="14"/>
    </row>
    <row r="25" spans="1:30" x14ac:dyDescent="0.15">
      <c r="A25" s="36" t="s">
        <v>31</v>
      </c>
      <c r="E25" s="36" t="s">
        <v>34</v>
      </c>
      <c r="H25" s="41" t="s">
        <v>36</v>
      </c>
      <c r="I25" s="17">
        <f>1-NORMDIST(L25,E8,F8,TRUE)</f>
        <v>0.97869289360077572</v>
      </c>
      <c r="J25" s="17">
        <f>1-NORMDIST(L25,E9,F9,TRUE)</f>
        <v>0.99998764476468482</v>
      </c>
      <c r="K25" s="36" t="s">
        <v>31</v>
      </c>
      <c r="L25" s="36">
        <v>1000</v>
      </c>
      <c r="M25" s="40">
        <f>L25-E8</f>
        <v>-387.63622540798042</v>
      </c>
      <c r="N25" s="13">
        <f>I25*B8/B26*B28</f>
        <v>8.1182575524184344</v>
      </c>
      <c r="O25" s="48"/>
      <c r="P25" s="60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</row>
    <row r="26" spans="1:30" x14ac:dyDescent="0.15">
      <c r="A26" s="36" t="s">
        <v>52</v>
      </c>
      <c r="B26" s="36">
        <v>1200</v>
      </c>
      <c r="C26" s="36" t="s">
        <v>46</v>
      </c>
      <c r="E26" s="36" t="s">
        <v>52</v>
      </c>
      <c r="F26" s="36">
        <v>1200</v>
      </c>
      <c r="G26" s="36" t="s">
        <v>46</v>
      </c>
      <c r="K26" s="36" t="s">
        <v>34</v>
      </c>
      <c r="L26" s="36">
        <v>1000</v>
      </c>
      <c r="M26" s="40">
        <f>L26-E9</f>
        <v>-1346.9522089341804</v>
      </c>
      <c r="N26" s="13">
        <f>B9/F26*F28*J25</f>
        <v>11.023113805152311</v>
      </c>
      <c r="O26" s="48"/>
      <c r="P26" s="60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</row>
    <row r="27" spans="1:30" x14ac:dyDescent="0.15">
      <c r="A27" s="36" t="s">
        <v>47</v>
      </c>
      <c r="B27" s="42">
        <f>IF(M25&gt;0,c_1*(B26/2+L25-E8)+c_3*B8/B26,c_1*(B26/2)+c_3*B8/B26)</f>
        <v>47550</v>
      </c>
      <c r="C27" s="36" t="s">
        <v>41</v>
      </c>
      <c r="E27" s="36" t="s">
        <v>47</v>
      </c>
      <c r="F27" s="42">
        <f>IF(M26&gt;0,c_1*(B26/2+L26-E9)+c_3*B9/B26,c_1*(B26/2)+c_3*B9/B26)</f>
        <v>72126.818181818177</v>
      </c>
      <c r="G27" s="36" t="s">
        <v>41</v>
      </c>
      <c r="M27" s="41" t="s">
        <v>57</v>
      </c>
      <c r="N27" s="17">
        <f>SUM(N25:N26)</f>
        <v>19.141371357570748</v>
      </c>
      <c r="O27" s="48"/>
      <c r="P27" s="60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</row>
    <row r="28" spans="1:30" x14ac:dyDescent="0.15">
      <c r="A28" s="36" t="s">
        <v>49</v>
      </c>
      <c r="B28" s="36">
        <v>28</v>
      </c>
      <c r="E28" s="36" t="s">
        <v>49</v>
      </c>
      <c r="F28" s="36">
        <v>22</v>
      </c>
      <c r="O28" s="48"/>
      <c r="P28" s="60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</row>
    <row r="29" spans="1:30" x14ac:dyDescent="0.15">
      <c r="I29" s="36" t="s">
        <v>47</v>
      </c>
      <c r="J29" s="42">
        <f>B28*B27+F27*F28</f>
        <v>2918190</v>
      </c>
      <c r="K29" s="36" t="s">
        <v>50</v>
      </c>
      <c r="O29" s="48"/>
      <c r="P29" s="60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</row>
    <row r="30" spans="1:30" x14ac:dyDescent="0.15">
      <c r="O30" s="48"/>
      <c r="P30" s="60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</row>
    <row r="31" spans="1:30" x14ac:dyDescent="0.15">
      <c r="A31" s="36" t="s">
        <v>55</v>
      </c>
      <c r="B31" s="42">
        <f>c_1*(B26/2)+c_3*B8/B26</f>
        <v>47550</v>
      </c>
      <c r="E31" s="36" t="s">
        <v>55</v>
      </c>
      <c r="F31" s="42">
        <f>c_1*(B26/2)+c_3*B9/B26</f>
        <v>72126.818181818177</v>
      </c>
      <c r="I31" s="36" t="s">
        <v>47</v>
      </c>
      <c r="J31" s="42">
        <f>B28*B31+F31*F28</f>
        <v>2918190</v>
      </c>
      <c r="O31" s="48"/>
      <c r="P31" s="60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</row>
    <row r="32" spans="1:30" x14ac:dyDescent="0.15">
      <c r="O32" s="48"/>
      <c r="P32" s="60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</row>
    <row r="33" spans="1:30" x14ac:dyDescent="0.15">
      <c r="O33" s="48"/>
      <c r="P33" s="60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</row>
    <row r="34" spans="1:30" x14ac:dyDescent="0.15">
      <c r="O34" s="48"/>
      <c r="P34" s="60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</row>
    <row r="35" spans="1:30" x14ac:dyDescent="0.15">
      <c r="B35" s="14"/>
      <c r="O35" s="48"/>
      <c r="P35" s="60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</row>
    <row r="36" spans="1:30" x14ac:dyDescent="0.15">
      <c r="A36" s="14"/>
      <c r="B36" s="14"/>
      <c r="C36" s="14"/>
      <c r="O36" s="48"/>
      <c r="P36" s="60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</row>
    <row r="37" spans="1:30" x14ac:dyDescent="0.15">
      <c r="B37" s="39"/>
      <c r="O37" s="48"/>
      <c r="P37" s="60"/>
      <c r="Q37" s="49"/>
      <c r="R37" s="49"/>
      <c r="S37" s="48"/>
      <c r="T37" s="48"/>
      <c r="U37" s="48"/>
      <c r="V37" s="48"/>
      <c r="W37" s="48"/>
      <c r="X37" s="48"/>
      <c r="Y37" s="48"/>
      <c r="Z37" s="48"/>
    </row>
    <row r="38" spans="1:30" x14ac:dyDescent="0.15">
      <c r="B38" s="39"/>
      <c r="O38" s="48"/>
      <c r="P38" s="60"/>
      <c r="Q38" s="49"/>
      <c r="R38" s="49"/>
      <c r="S38" s="48"/>
      <c r="T38" s="48"/>
      <c r="U38" s="48"/>
      <c r="V38" s="48"/>
      <c r="W38" s="48"/>
      <c r="X38" s="48"/>
      <c r="Y38" s="48"/>
      <c r="Z38" s="48"/>
    </row>
    <row r="39" spans="1:30" x14ac:dyDescent="0.15">
      <c r="B39" s="39"/>
      <c r="O39" s="48"/>
      <c r="P39" s="60"/>
      <c r="Q39" s="49"/>
      <c r="R39" s="49"/>
      <c r="S39" s="48"/>
      <c r="T39" s="48"/>
      <c r="U39" s="48"/>
      <c r="V39" s="48"/>
      <c r="W39" s="48"/>
      <c r="X39" s="48"/>
      <c r="Y39" s="48"/>
      <c r="Z39" s="48"/>
    </row>
    <row r="40" spans="1:30" x14ac:dyDescent="0.15">
      <c r="B40" s="39"/>
      <c r="O40" s="48"/>
      <c r="P40" s="60"/>
      <c r="Q40" s="49"/>
      <c r="R40" s="49"/>
      <c r="S40" s="48"/>
      <c r="T40" s="48"/>
      <c r="U40" s="48"/>
      <c r="V40" s="48"/>
      <c r="W40" s="48"/>
      <c r="X40" s="48"/>
      <c r="Y40" s="48"/>
      <c r="Z40" s="48"/>
    </row>
    <row r="41" spans="1:30" x14ac:dyDescent="0.15">
      <c r="B41" s="39"/>
      <c r="O41" s="48"/>
      <c r="P41" s="60"/>
      <c r="Q41" s="49"/>
      <c r="R41" s="49"/>
      <c r="S41" s="48"/>
      <c r="T41" s="48"/>
      <c r="U41" s="48"/>
      <c r="V41" s="48"/>
      <c r="W41" s="48"/>
      <c r="X41" s="48"/>
      <c r="Y41" s="48"/>
      <c r="Z41" s="48"/>
    </row>
    <row r="42" spans="1:30" x14ac:dyDescent="0.15">
      <c r="B42" s="39"/>
      <c r="O42" s="48"/>
      <c r="P42" s="60"/>
      <c r="Q42" s="49"/>
      <c r="R42" s="49"/>
      <c r="S42" s="48"/>
      <c r="T42" s="48"/>
      <c r="U42" s="48"/>
      <c r="V42" s="48"/>
      <c r="W42" s="48"/>
      <c r="X42" s="48"/>
      <c r="Y42" s="48"/>
      <c r="Z42" s="48"/>
    </row>
    <row r="43" spans="1:30" x14ac:dyDescent="0.15">
      <c r="B43" s="39"/>
      <c r="O43" s="48"/>
      <c r="P43" s="60"/>
      <c r="Q43" s="49"/>
      <c r="R43" s="49"/>
      <c r="S43" s="48"/>
      <c r="T43" s="48"/>
      <c r="U43" s="48"/>
      <c r="V43" s="48"/>
      <c r="W43" s="48"/>
      <c r="X43" s="48"/>
      <c r="Y43" s="48"/>
      <c r="Z43" s="48"/>
    </row>
    <row r="44" spans="1:30" x14ac:dyDescent="0.15">
      <c r="B44" s="39"/>
      <c r="O44" s="48"/>
      <c r="P44" s="60"/>
      <c r="Q44" s="49"/>
      <c r="R44" s="49"/>
      <c r="S44" s="48"/>
      <c r="T44" s="48"/>
      <c r="U44" s="48"/>
      <c r="V44" s="48"/>
      <c r="W44" s="48"/>
      <c r="X44" s="48"/>
      <c r="Y44" s="48"/>
      <c r="Z44" s="48"/>
    </row>
    <row r="45" spans="1:30" x14ac:dyDescent="0.15">
      <c r="B45" s="39"/>
    </row>
    <row r="46" spans="1:30" x14ac:dyDescent="0.15">
      <c r="B46" s="39"/>
    </row>
    <row r="47" spans="1:30" x14ac:dyDescent="0.15">
      <c r="B47" s="39"/>
    </row>
    <row r="48" spans="1:30" x14ac:dyDescent="0.15">
      <c r="B48" s="39"/>
    </row>
    <row r="49" spans="2:2" x14ac:dyDescent="0.15">
      <c r="B49" s="39"/>
    </row>
    <row r="50" spans="2:2" x14ac:dyDescent="0.15">
      <c r="B50" s="39"/>
    </row>
    <row r="51" spans="2:2" x14ac:dyDescent="0.15">
      <c r="B51" s="39"/>
    </row>
    <row r="52" spans="2:2" x14ac:dyDescent="0.15">
      <c r="B52" s="39"/>
    </row>
    <row r="53" spans="2:2" x14ac:dyDescent="0.15">
      <c r="B53" s="39"/>
    </row>
    <row r="54" spans="2:2" x14ac:dyDescent="0.15">
      <c r="B54" s="39"/>
    </row>
    <row r="55" spans="2:2" x14ac:dyDescent="0.15">
      <c r="B55" s="39"/>
    </row>
    <row r="56" spans="2:2" x14ac:dyDescent="0.15">
      <c r="B56" s="39"/>
    </row>
    <row r="57" spans="2:2" x14ac:dyDescent="0.15">
      <c r="B57" s="39"/>
    </row>
    <row r="58" spans="2:2" x14ac:dyDescent="0.15">
      <c r="B58" s="39"/>
    </row>
    <row r="59" spans="2:2" x14ac:dyDescent="0.15">
      <c r="B59" s="39"/>
    </row>
    <row r="60" spans="2:2" x14ac:dyDescent="0.15">
      <c r="B60" s="39"/>
    </row>
    <row r="61" spans="2:2" x14ac:dyDescent="0.15">
      <c r="B61" s="39"/>
    </row>
    <row r="62" spans="2:2" x14ac:dyDescent="0.15">
      <c r="B62" s="39"/>
    </row>
    <row r="63" spans="2:2" x14ac:dyDescent="0.15">
      <c r="B63" s="39"/>
    </row>
    <row r="64" spans="2:2" x14ac:dyDescent="0.15">
      <c r="B64" s="39"/>
    </row>
    <row r="65" spans="2:2" x14ac:dyDescent="0.15">
      <c r="B65" s="39"/>
    </row>
    <row r="66" spans="2:2" x14ac:dyDescent="0.15">
      <c r="B66" s="39"/>
    </row>
    <row r="67" spans="2:2" x14ac:dyDescent="0.15">
      <c r="B67" s="39"/>
    </row>
    <row r="68" spans="2:2" x14ac:dyDescent="0.15">
      <c r="B68" s="39"/>
    </row>
    <row r="69" spans="2:2" x14ac:dyDescent="0.15">
      <c r="B69" s="39"/>
    </row>
    <row r="70" spans="2:2" x14ac:dyDescent="0.15">
      <c r="B70" s="39"/>
    </row>
    <row r="71" spans="2:2" x14ac:dyDescent="0.15">
      <c r="B71" s="39"/>
    </row>
    <row r="72" spans="2:2" x14ac:dyDescent="0.15">
      <c r="B72" s="39"/>
    </row>
    <row r="73" spans="2:2" x14ac:dyDescent="0.15">
      <c r="B73" s="39"/>
    </row>
    <row r="74" spans="2:2" x14ac:dyDescent="0.15">
      <c r="B74" s="39"/>
    </row>
    <row r="75" spans="2:2" x14ac:dyDescent="0.15">
      <c r="B75" s="39"/>
    </row>
    <row r="76" spans="2:2" x14ac:dyDescent="0.15">
      <c r="B76" s="39"/>
    </row>
    <row r="77" spans="2:2" x14ac:dyDescent="0.15">
      <c r="B77" s="39"/>
    </row>
    <row r="78" spans="2:2" x14ac:dyDescent="0.15">
      <c r="B78" s="39"/>
    </row>
    <row r="79" spans="2:2" x14ac:dyDescent="0.15">
      <c r="B79" s="39"/>
    </row>
    <row r="80" spans="2:2" x14ac:dyDescent="0.15">
      <c r="B80" s="39"/>
    </row>
    <row r="81" spans="2:2" x14ac:dyDescent="0.15">
      <c r="B81" s="39"/>
    </row>
  </sheetData>
  <mergeCells count="1">
    <mergeCell ref="T4:AA4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57"/>
  <sheetViews>
    <sheetView view="pageBreakPreview" zoomScale="91" zoomScaleNormal="91" zoomScalePageLayoutView="91" workbookViewId="0">
      <selection activeCell="P20" sqref="P20"/>
    </sheetView>
  </sheetViews>
  <sheetFormatPr baseColWidth="10" defaultColWidth="8.83203125" defaultRowHeight="13" x14ac:dyDescent="0.15"/>
  <cols>
    <col min="2" max="2" width="14.1640625" bestFit="1" customWidth="1"/>
    <col min="3" max="3" width="8" bestFit="1" customWidth="1"/>
    <col min="4" max="4" width="15" bestFit="1" customWidth="1"/>
    <col min="8" max="8" width="15" customWidth="1"/>
    <col min="9" max="9" width="12.6640625" bestFit="1" customWidth="1"/>
    <col min="10" max="10" width="12.83203125" customWidth="1"/>
    <col min="11" max="11" width="14.6640625" customWidth="1"/>
    <col min="12" max="12" width="16.1640625" customWidth="1"/>
    <col min="13" max="13" width="19.5" customWidth="1"/>
    <col min="14" max="14" width="12.1640625" bestFit="1" customWidth="1"/>
    <col min="15" max="15" width="11.5" bestFit="1" customWidth="1"/>
    <col min="17" max="17" width="11.6640625" bestFit="1" customWidth="1"/>
  </cols>
  <sheetData>
    <row r="3" spans="1:13" x14ac:dyDescent="0.15">
      <c r="A3" s="43"/>
      <c r="B3" s="43"/>
      <c r="C3" s="43"/>
      <c r="E3" s="61"/>
    </row>
    <row r="4" spans="1:13" x14ac:dyDescent="0.15">
      <c r="A4" s="44"/>
      <c r="B4" s="44"/>
      <c r="C4" s="44"/>
      <c r="E4" s="62">
        <v>2014</v>
      </c>
      <c r="H4" s="58" t="s">
        <v>5</v>
      </c>
      <c r="I4" s="57" t="s">
        <v>66</v>
      </c>
      <c r="J4" s="56" t="s">
        <v>65</v>
      </c>
      <c r="K4" s="56" t="s">
        <v>64</v>
      </c>
      <c r="L4" s="56" t="s">
        <v>63</v>
      </c>
      <c r="M4" s="56" t="s">
        <v>62</v>
      </c>
    </row>
    <row r="5" spans="1:13" x14ac:dyDescent="0.15">
      <c r="A5" s="44"/>
      <c r="B5" s="44"/>
      <c r="C5" s="44"/>
      <c r="E5" s="63">
        <v>323</v>
      </c>
      <c r="H5" s="7">
        <v>1</v>
      </c>
      <c r="I5" s="55" t="s">
        <v>61</v>
      </c>
      <c r="J5">
        <v>0</v>
      </c>
      <c r="K5">
        <v>0</v>
      </c>
      <c r="L5">
        <v>1500</v>
      </c>
      <c r="M5">
        <v>0</v>
      </c>
    </row>
    <row r="6" spans="1:13" x14ac:dyDescent="0.15">
      <c r="A6" s="39"/>
      <c r="E6" s="63">
        <v>346</v>
      </c>
      <c r="H6" s="7">
        <v>2</v>
      </c>
      <c r="I6">
        <f ca="1">NORMINV(RAND(),$E$55*1.05,$E$56*1.05)</f>
        <v>549.08026730825009</v>
      </c>
      <c r="J6">
        <f ca="1">IF(K6=$C$11,J5+1,J5)</f>
        <v>0</v>
      </c>
      <c r="K6">
        <f ca="1">IF(K5&gt;0,IF(K5-1=0,$C$11,IF(K5=$C$11,0,K5-1)),IF(L6&lt;$C$11,RANDBETWEEN(2,6),0))</f>
        <v>2</v>
      </c>
      <c r="L6">
        <f ca="1">IF(L5-I6&gt;=0,IF(K6=$C$11,L5-I6+$C$11,L5-I6),IF(K6=$C$11,K6-L5-I6,0))</f>
        <v>950.91973269174991</v>
      </c>
      <c r="M6">
        <f t="shared" ref="M6:M37" ca="1" si="0">IF(L6=0,M5+1,M5)</f>
        <v>0</v>
      </c>
    </row>
    <row r="7" spans="1:13" x14ac:dyDescent="0.15">
      <c r="E7" s="63">
        <v>307</v>
      </c>
      <c r="H7" s="7">
        <v>3</v>
      </c>
      <c r="I7">
        <f t="shared" ref="I7:I36" ca="1" si="1">NORMINV(RAND(),$E$55*1.05,$E$56*1.05)</f>
        <v>473.23380517903365</v>
      </c>
      <c r="J7">
        <f t="shared" ref="J7:J54" ca="1" si="2">IF(K7=$C$11,J6+1,J6)</f>
        <v>0</v>
      </c>
      <c r="K7">
        <f t="shared" ref="K7:K54" ca="1" si="3">IF(K6&gt;0,IF(K6-1=0,$C$11,IF(K6=$C$11,0,K6-1)),IF(L7&lt;$C$11,RANDBETWEEN(2,6),0))</f>
        <v>1</v>
      </c>
      <c r="L7">
        <f t="shared" ref="L7:L54" ca="1" si="4">IF(L6-I7&gt;=0,IF(K7=$C$11,L6-I7+$C$11,L6-I7),IF(K7=$C$11,K7-L6-I7,0))</f>
        <v>477.68592751271626</v>
      </c>
      <c r="M7">
        <f t="shared" ca="1" si="0"/>
        <v>0</v>
      </c>
    </row>
    <row r="8" spans="1:13" x14ac:dyDescent="0.15">
      <c r="E8" s="63">
        <v>346</v>
      </c>
      <c r="H8" s="7">
        <v>4</v>
      </c>
      <c r="I8">
        <f t="shared" ca="1" si="1"/>
        <v>221.25092956418902</v>
      </c>
      <c r="J8">
        <f t="shared" ca="1" si="2"/>
        <v>0</v>
      </c>
      <c r="K8">
        <f t="shared" ca="1" si="3"/>
        <v>2359</v>
      </c>
      <c r="L8">
        <f t="shared" ca="1" si="4"/>
        <v>2615.4349979485273</v>
      </c>
      <c r="M8">
        <f t="shared" ca="1" si="0"/>
        <v>0</v>
      </c>
    </row>
    <row r="9" spans="1:13" x14ac:dyDescent="0.15">
      <c r="A9" s="39"/>
      <c r="E9" s="63">
        <v>313</v>
      </c>
      <c r="H9" s="7">
        <v>5</v>
      </c>
      <c r="I9">
        <f ca="1">NORMINV(RAND(),$E$55*1.05,$E$56*1.05)</f>
        <v>424.83943465458486</v>
      </c>
      <c r="J9">
        <f t="shared" ca="1" si="2"/>
        <v>0</v>
      </c>
      <c r="K9">
        <f t="shared" ca="1" si="3"/>
        <v>0</v>
      </c>
      <c r="L9">
        <f t="shared" ca="1" si="4"/>
        <v>2190.5955632939426</v>
      </c>
      <c r="M9">
        <f t="shared" ca="1" si="0"/>
        <v>0</v>
      </c>
    </row>
    <row r="10" spans="1:13" x14ac:dyDescent="0.15">
      <c r="A10" s="39"/>
      <c r="B10" s="59" t="s">
        <v>33</v>
      </c>
      <c r="C10" s="14">
        <v>2091</v>
      </c>
      <c r="E10" s="63">
        <v>346</v>
      </c>
      <c r="H10" s="7">
        <v>6</v>
      </c>
      <c r="I10">
        <f t="shared" ca="1" si="1"/>
        <v>333.04561698394821</v>
      </c>
      <c r="J10">
        <f t="shared" ca="1" si="2"/>
        <v>1</v>
      </c>
      <c r="K10">
        <f t="shared" ca="1" si="3"/>
        <v>3</v>
      </c>
      <c r="L10">
        <f t="shared" ca="1" si="4"/>
        <v>1857.5499463099945</v>
      </c>
      <c r="M10">
        <f t="shared" ca="1" si="0"/>
        <v>0</v>
      </c>
    </row>
    <row r="11" spans="1:13" x14ac:dyDescent="0.15">
      <c r="A11" s="39"/>
      <c r="B11" s="59" t="s">
        <v>67</v>
      </c>
      <c r="C11" s="14">
        <v>2359</v>
      </c>
      <c r="E11" s="63">
        <v>381</v>
      </c>
      <c r="H11" s="7">
        <v>7</v>
      </c>
      <c r="I11">
        <f t="shared" ca="1" si="1"/>
        <v>353.83492704678389</v>
      </c>
      <c r="J11">
        <f t="shared" ca="1" si="2"/>
        <v>1</v>
      </c>
      <c r="K11">
        <f t="shared" ca="1" si="3"/>
        <v>2</v>
      </c>
      <c r="L11">
        <f t="shared" ca="1" si="4"/>
        <v>1503.7150192632107</v>
      </c>
      <c r="M11">
        <f t="shared" ca="1" si="0"/>
        <v>0</v>
      </c>
    </row>
    <row r="12" spans="1:13" x14ac:dyDescent="0.15">
      <c r="A12" s="39"/>
      <c r="B12" s="59" t="s">
        <v>68</v>
      </c>
      <c r="C12" s="14">
        <v>1809.74</v>
      </c>
      <c r="E12" s="63">
        <v>319</v>
      </c>
      <c r="H12" s="7">
        <v>8</v>
      </c>
      <c r="I12">
        <f t="shared" ca="1" si="1"/>
        <v>703.53433059969188</v>
      </c>
      <c r="J12">
        <f t="shared" ca="1" si="2"/>
        <v>1</v>
      </c>
      <c r="K12">
        <f t="shared" ca="1" si="3"/>
        <v>1</v>
      </c>
      <c r="L12">
        <f t="shared" ca="1" si="4"/>
        <v>800.18068866351882</v>
      </c>
      <c r="M12">
        <f t="shared" ca="1" si="0"/>
        <v>0</v>
      </c>
    </row>
    <row r="13" spans="1:13" x14ac:dyDescent="0.15">
      <c r="A13" s="39"/>
      <c r="B13" s="59" t="s">
        <v>69</v>
      </c>
      <c r="C13" s="14">
        <v>339.28</v>
      </c>
      <c r="E13" s="63">
        <v>294</v>
      </c>
      <c r="H13" s="7">
        <v>9</v>
      </c>
      <c r="I13">
        <f t="shared" ca="1" si="1"/>
        <v>399.03265476350612</v>
      </c>
      <c r="J13">
        <f t="shared" ca="1" si="2"/>
        <v>1</v>
      </c>
      <c r="K13">
        <f t="shared" ca="1" si="3"/>
        <v>2359</v>
      </c>
      <c r="L13">
        <f t="shared" ca="1" si="4"/>
        <v>2760.1480339000127</v>
      </c>
      <c r="M13">
        <f t="shared" ca="1" si="0"/>
        <v>0</v>
      </c>
    </row>
    <row r="14" spans="1:13" x14ac:dyDescent="0.15">
      <c r="A14" s="39"/>
      <c r="B14" s="59" t="s">
        <v>40</v>
      </c>
      <c r="C14">
        <f>20</f>
        <v>20</v>
      </c>
      <c r="E14" s="63">
        <v>344</v>
      </c>
      <c r="H14" s="7">
        <v>10</v>
      </c>
      <c r="I14">
        <f t="shared" ca="1" si="1"/>
        <v>531.43640613363311</v>
      </c>
      <c r="J14">
        <f t="shared" ca="1" si="2"/>
        <v>1</v>
      </c>
      <c r="K14">
        <f t="shared" ca="1" si="3"/>
        <v>0</v>
      </c>
      <c r="L14">
        <f t="shared" ca="1" si="4"/>
        <v>2228.7116277663795</v>
      </c>
      <c r="M14">
        <f t="shared" ca="1" si="0"/>
        <v>0</v>
      </c>
    </row>
    <row r="15" spans="1:13" x14ac:dyDescent="0.15">
      <c r="A15" s="39"/>
      <c r="B15" s="59" t="s">
        <v>44</v>
      </c>
      <c r="C15">
        <v>120000</v>
      </c>
      <c r="E15" s="63">
        <v>347</v>
      </c>
      <c r="H15" s="7">
        <v>11</v>
      </c>
      <c r="I15">
        <f ca="1">NORMINV(RAND(),$E$55*1.05,$E$56*1.05)</f>
        <v>542.8335166744788</v>
      </c>
      <c r="J15">
        <f t="shared" ca="1" si="2"/>
        <v>1</v>
      </c>
      <c r="K15">
        <f t="shared" ca="1" si="3"/>
        <v>5</v>
      </c>
      <c r="L15">
        <f t="shared" ca="1" si="4"/>
        <v>1685.8781110919008</v>
      </c>
      <c r="M15">
        <f t="shared" ca="1" si="0"/>
        <v>0</v>
      </c>
    </row>
    <row r="16" spans="1:13" x14ac:dyDescent="0.15">
      <c r="B16" s="59" t="s">
        <v>70</v>
      </c>
      <c r="C16">
        <v>50</v>
      </c>
      <c r="E16" s="63">
        <v>319</v>
      </c>
      <c r="H16" s="7">
        <v>12</v>
      </c>
      <c r="I16">
        <f t="shared" ca="1" si="1"/>
        <v>507.24067643833337</v>
      </c>
      <c r="J16">
        <f t="shared" ca="1" si="2"/>
        <v>1</v>
      </c>
      <c r="K16">
        <f t="shared" ca="1" si="3"/>
        <v>4</v>
      </c>
      <c r="L16">
        <f t="shared" ca="1" si="4"/>
        <v>1178.6374346535674</v>
      </c>
      <c r="M16">
        <f t="shared" ca="1" si="0"/>
        <v>0</v>
      </c>
    </row>
    <row r="17" spans="1:21" x14ac:dyDescent="0.15">
      <c r="E17" s="63">
        <v>359</v>
      </c>
      <c r="H17" s="7">
        <v>13</v>
      </c>
      <c r="I17">
        <f t="shared" ca="1" si="1"/>
        <v>197.99121025441752</v>
      </c>
      <c r="J17">
        <f t="shared" ca="1" si="2"/>
        <v>2</v>
      </c>
      <c r="K17">
        <f t="shared" ca="1" si="3"/>
        <v>3</v>
      </c>
      <c r="L17">
        <f t="shared" ca="1" si="4"/>
        <v>980.6462243991499</v>
      </c>
      <c r="M17">
        <f t="shared" ca="1" si="0"/>
        <v>0</v>
      </c>
    </row>
    <row r="18" spans="1:21" x14ac:dyDescent="0.15">
      <c r="E18" s="63">
        <v>346</v>
      </c>
      <c r="H18" s="7">
        <v>14</v>
      </c>
      <c r="I18">
        <f t="shared" ca="1" si="1"/>
        <v>412.40092242190269</v>
      </c>
      <c r="J18">
        <f t="shared" ca="1" si="2"/>
        <v>2</v>
      </c>
      <c r="K18">
        <f t="shared" ca="1" si="3"/>
        <v>2</v>
      </c>
      <c r="L18">
        <f t="shared" ca="1" si="4"/>
        <v>568.24530197724721</v>
      </c>
      <c r="M18">
        <f t="shared" ca="1" si="0"/>
        <v>0</v>
      </c>
    </row>
    <row r="19" spans="1:21" x14ac:dyDescent="0.15">
      <c r="E19" s="63">
        <v>333</v>
      </c>
      <c r="H19" s="7">
        <v>15</v>
      </c>
      <c r="I19">
        <f t="shared" ca="1" si="1"/>
        <v>390.53048250354362</v>
      </c>
      <c r="J19">
        <f t="shared" ca="1" si="2"/>
        <v>2</v>
      </c>
      <c r="K19">
        <f t="shared" ca="1" si="3"/>
        <v>1</v>
      </c>
      <c r="L19">
        <f t="shared" ca="1" si="4"/>
        <v>177.71481947370359</v>
      </c>
      <c r="M19">
        <f t="shared" ca="1" si="0"/>
        <v>0</v>
      </c>
    </row>
    <row r="20" spans="1:21" x14ac:dyDescent="0.15">
      <c r="E20" s="63">
        <v>339</v>
      </c>
      <c r="H20" s="7">
        <v>16</v>
      </c>
      <c r="I20">
        <f t="shared" ca="1" si="1"/>
        <v>459.80326250115542</v>
      </c>
      <c r="J20">
        <f t="shared" ca="1" si="2"/>
        <v>2</v>
      </c>
      <c r="K20">
        <f t="shared" ca="1" si="3"/>
        <v>2359</v>
      </c>
      <c r="L20">
        <f t="shared" ca="1" si="4"/>
        <v>1721.4819180251409</v>
      </c>
      <c r="M20">
        <f t="shared" ca="1" si="0"/>
        <v>0</v>
      </c>
    </row>
    <row r="21" spans="1:21" x14ac:dyDescent="0.15">
      <c r="B21" s="14"/>
      <c r="C21" s="14"/>
      <c r="E21" s="63">
        <v>322</v>
      </c>
      <c r="H21" s="7">
        <v>17</v>
      </c>
      <c r="I21">
        <f t="shared" ca="1" si="1"/>
        <v>283.40940054385186</v>
      </c>
      <c r="J21">
        <f t="shared" ca="1" si="2"/>
        <v>2</v>
      </c>
      <c r="K21">
        <f t="shared" ca="1" si="3"/>
        <v>0</v>
      </c>
      <c r="L21">
        <f t="shared" ca="1" si="4"/>
        <v>1438.072517481289</v>
      </c>
      <c r="M21">
        <f t="shared" ca="1" si="0"/>
        <v>0</v>
      </c>
    </row>
    <row r="22" spans="1:21" x14ac:dyDescent="0.15">
      <c r="B22" s="14"/>
      <c r="C22" s="14"/>
      <c r="E22" s="63">
        <v>370</v>
      </c>
      <c r="H22" s="7">
        <v>18</v>
      </c>
      <c r="I22">
        <f t="shared" ca="1" si="1"/>
        <v>251.84279762805136</v>
      </c>
      <c r="J22">
        <f t="shared" ca="1" si="2"/>
        <v>2</v>
      </c>
      <c r="K22">
        <f t="shared" ca="1" si="3"/>
        <v>3</v>
      </c>
      <c r="L22">
        <f t="shared" ca="1" si="4"/>
        <v>1186.2297198532376</v>
      </c>
      <c r="M22">
        <f t="shared" ca="1" si="0"/>
        <v>0</v>
      </c>
    </row>
    <row r="23" spans="1:21" x14ac:dyDescent="0.15">
      <c r="B23" s="14"/>
      <c r="C23" s="14"/>
      <c r="E23" s="63">
        <v>346</v>
      </c>
      <c r="H23" s="7">
        <v>19</v>
      </c>
      <c r="I23">
        <f t="shared" ca="1" si="1"/>
        <v>379.82494930685732</v>
      </c>
      <c r="J23">
        <f t="shared" ca="1" si="2"/>
        <v>2</v>
      </c>
      <c r="K23">
        <f t="shared" ca="1" si="3"/>
        <v>2</v>
      </c>
      <c r="L23">
        <f t="shared" ca="1" si="4"/>
        <v>806.40477054638029</v>
      </c>
      <c r="M23">
        <f t="shared" ca="1" si="0"/>
        <v>0</v>
      </c>
    </row>
    <row r="24" spans="1:21" x14ac:dyDescent="0.15">
      <c r="B24" s="14"/>
      <c r="C24" s="14"/>
      <c r="E24" s="63">
        <v>330</v>
      </c>
      <c r="H24" s="7">
        <v>20</v>
      </c>
      <c r="I24">
        <f t="shared" ca="1" si="1"/>
        <v>374.11760377626604</v>
      </c>
      <c r="J24">
        <f t="shared" ca="1" si="2"/>
        <v>2</v>
      </c>
      <c r="K24">
        <f t="shared" ca="1" si="3"/>
        <v>1</v>
      </c>
      <c r="L24">
        <f t="shared" ca="1" si="4"/>
        <v>432.28716677011425</v>
      </c>
      <c r="M24">
        <f t="shared" ca="1" si="0"/>
        <v>0</v>
      </c>
    </row>
    <row r="25" spans="1:21" x14ac:dyDescent="0.15">
      <c r="E25" s="63">
        <v>335</v>
      </c>
      <c r="H25" s="7">
        <v>21</v>
      </c>
      <c r="I25">
        <f t="shared" ca="1" si="1"/>
        <v>581.23843598655981</v>
      </c>
      <c r="J25">
        <f t="shared" ca="1" si="2"/>
        <v>3</v>
      </c>
      <c r="K25">
        <f t="shared" ca="1" si="3"/>
        <v>2359</v>
      </c>
      <c r="L25">
        <f t="shared" ca="1" si="4"/>
        <v>1345.4743972433259</v>
      </c>
      <c r="M25">
        <f t="shared" ca="1" si="0"/>
        <v>0</v>
      </c>
    </row>
    <row r="26" spans="1:21" x14ac:dyDescent="0.15">
      <c r="A26" s="43"/>
      <c r="B26" s="43"/>
      <c r="C26" s="43"/>
      <c r="E26" s="63">
        <v>341</v>
      </c>
      <c r="H26" s="7">
        <v>22</v>
      </c>
      <c r="I26">
        <f t="shared" ca="1" si="1"/>
        <v>538.09473112323008</v>
      </c>
      <c r="J26">
        <f t="shared" ca="1" si="2"/>
        <v>3</v>
      </c>
      <c r="K26">
        <f t="shared" ca="1" si="3"/>
        <v>0</v>
      </c>
      <c r="L26">
        <f t="shared" ca="1" si="4"/>
        <v>807.37966612009586</v>
      </c>
      <c r="M26">
        <f t="shared" ca="1" si="0"/>
        <v>0</v>
      </c>
    </row>
    <row r="27" spans="1:21" x14ac:dyDescent="0.15">
      <c r="A27" s="43"/>
      <c r="B27" s="43"/>
      <c r="C27" s="43"/>
      <c r="E27" s="63">
        <v>336</v>
      </c>
      <c r="H27" s="7">
        <v>23</v>
      </c>
      <c r="I27">
        <f t="shared" ca="1" si="1"/>
        <v>381.37026535091752</v>
      </c>
      <c r="J27">
        <f t="shared" ca="1" si="2"/>
        <v>3</v>
      </c>
      <c r="K27">
        <f t="shared" ca="1" si="3"/>
        <v>2</v>
      </c>
      <c r="L27">
        <f t="shared" ca="1" si="4"/>
        <v>426.00940076917834</v>
      </c>
      <c r="M27">
        <f t="shared" ca="1" si="0"/>
        <v>0</v>
      </c>
      <c r="P27" s="36"/>
      <c r="Q27" s="36"/>
      <c r="T27" s="36"/>
      <c r="U27" s="36"/>
    </row>
    <row r="28" spans="1:21" x14ac:dyDescent="0.15">
      <c r="A28" s="44"/>
      <c r="B28" s="44"/>
      <c r="C28" s="44"/>
      <c r="E28" s="63">
        <v>324</v>
      </c>
      <c r="H28" s="7">
        <v>24</v>
      </c>
      <c r="I28">
        <f t="shared" ca="1" si="1"/>
        <v>514.59411913334282</v>
      </c>
      <c r="J28">
        <f t="shared" ca="1" si="2"/>
        <v>3</v>
      </c>
      <c r="K28">
        <f t="shared" ca="1" si="3"/>
        <v>1</v>
      </c>
      <c r="L28">
        <f t="shared" ca="1" si="4"/>
        <v>0</v>
      </c>
      <c r="M28">
        <f t="shared" ca="1" si="0"/>
        <v>1</v>
      </c>
    </row>
    <row r="29" spans="1:21" x14ac:dyDescent="0.15">
      <c r="A29" s="44"/>
      <c r="B29" s="44"/>
      <c r="C29" s="44"/>
      <c r="E29" s="63">
        <v>568</v>
      </c>
      <c r="H29" s="7">
        <v>25</v>
      </c>
      <c r="I29">
        <f t="shared" ca="1" si="1"/>
        <v>636.49716193282211</v>
      </c>
      <c r="J29">
        <f t="shared" ca="1" si="2"/>
        <v>3</v>
      </c>
      <c r="K29">
        <f t="shared" ca="1" si="3"/>
        <v>2359</v>
      </c>
      <c r="L29">
        <f t="shared" ca="1" si="4"/>
        <v>1722.5028380671779</v>
      </c>
      <c r="M29">
        <f t="shared" ca="1" si="0"/>
        <v>1</v>
      </c>
    </row>
    <row r="30" spans="1:21" x14ac:dyDescent="0.15">
      <c r="A30" s="39"/>
      <c r="E30" s="63">
        <v>576</v>
      </c>
      <c r="H30" s="7">
        <v>26</v>
      </c>
      <c r="I30">
        <f t="shared" ca="1" si="1"/>
        <v>581.30626871982975</v>
      </c>
      <c r="J30">
        <f t="shared" ca="1" si="2"/>
        <v>3</v>
      </c>
      <c r="K30">
        <f t="shared" ca="1" si="3"/>
        <v>0</v>
      </c>
      <c r="L30">
        <f t="shared" ca="1" si="4"/>
        <v>1141.196569347348</v>
      </c>
      <c r="M30">
        <f t="shared" ca="1" si="0"/>
        <v>1</v>
      </c>
    </row>
    <row r="31" spans="1:21" x14ac:dyDescent="0.15">
      <c r="E31" s="63">
        <v>585</v>
      </c>
      <c r="H31" s="7">
        <v>27</v>
      </c>
      <c r="I31">
        <f t="shared" ca="1" si="1"/>
        <v>316.64264121161636</v>
      </c>
      <c r="J31">
        <f t="shared" ca="1" si="2"/>
        <v>3</v>
      </c>
      <c r="K31">
        <f t="shared" ca="1" si="3"/>
        <v>5</v>
      </c>
      <c r="L31">
        <f t="shared" ca="1" si="4"/>
        <v>824.55392813573167</v>
      </c>
      <c r="M31">
        <f t="shared" ca="1" si="0"/>
        <v>1</v>
      </c>
    </row>
    <row r="32" spans="1:21" x14ac:dyDescent="0.15">
      <c r="E32" s="63">
        <v>557</v>
      </c>
      <c r="H32" s="7">
        <v>28</v>
      </c>
      <c r="I32">
        <f t="shared" ca="1" si="1"/>
        <v>481.97360686220571</v>
      </c>
      <c r="J32">
        <f t="shared" ca="1" si="2"/>
        <v>4</v>
      </c>
      <c r="K32">
        <f t="shared" ca="1" si="3"/>
        <v>4</v>
      </c>
      <c r="L32">
        <f t="shared" ca="1" si="4"/>
        <v>342.58032127352595</v>
      </c>
      <c r="M32">
        <f t="shared" ca="1" si="0"/>
        <v>1</v>
      </c>
    </row>
    <row r="33" spans="5:13" x14ac:dyDescent="0.15">
      <c r="E33" s="63">
        <v>589</v>
      </c>
      <c r="H33" s="7">
        <v>29</v>
      </c>
      <c r="I33">
        <f t="shared" ca="1" si="1"/>
        <v>542.78284497627737</v>
      </c>
      <c r="J33">
        <f t="shared" ca="1" si="2"/>
        <v>4</v>
      </c>
      <c r="K33">
        <f t="shared" ca="1" si="3"/>
        <v>3</v>
      </c>
      <c r="L33">
        <f t="shared" ca="1" si="4"/>
        <v>0</v>
      </c>
      <c r="M33">
        <f t="shared" ca="1" si="0"/>
        <v>2</v>
      </c>
    </row>
    <row r="34" spans="5:13" x14ac:dyDescent="0.15">
      <c r="E34" s="63">
        <v>573</v>
      </c>
      <c r="H34" s="7">
        <v>30</v>
      </c>
      <c r="I34">
        <f t="shared" ca="1" si="1"/>
        <v>475.47137764414674</v>
      </c>
      <c r="J34">
        <f t="shared" ca="1" si="2"/>
        <v>4</v>
      </c>
      <c r="K34">
        <f t="shared" ca="1" si="3"/>
        <v>2</v>
      </c>
      <c r="L34">
        <f t="shared" ca="1" si="4"/>
        <v>0</v>
      </c>
      <c r="M34">
        <f t="shared" ca="1" si="0"/>
        <v>3</v>
      </c>
    </row>
    <row r="35" spans="5:13" x14ac:dyDescent="0.15">
      <c r="E35" s="63">
        <v>603</v>
      </c>
      <c r="H35" s="7">
        <v>31</v>
      </c>
      <c r="I35">
        <f t="shared" ca="1" si="1"/>
        <v>377.16630637815342</v>
      </c>
      <c r="J35">
        <f t="shared" ca="1" si="2"/>
        <v>4</v>
      </c>
      <c r="K35">
        <f t="shared" ca="1" si="3"/>
        <v>1</v>
      </c>
      <c r="L35">
        <f t="shared" ca="1" si="4"/>
        <v>0</v>
      </c>
      <c r="M35">
        <f t="shared" ca="1" si="0"/>
        <v>4</v>
      </c>
    </row>
    <row r="36" spans="5:13" x14ac:dyDescent="0.15">
      <c r="E36" s="63">
        <v>565</v>
      </c>
      <c r="H36" s="7">
        <v>32</v>
      </c>
      <c r="I36">
        <f t="shared" ca="1" si="1"/>
        <v>157.81996726236457</v>
      </c>
      <c r="J36">
        <f t="shared" ca="1" si="2"/>
        <v>4</v>
      </c>
      <c r="K36">
        <f t="shared" ca="1" si="3"/>
        <v>2359</v>
      </c>
      <c r="L36">
        <f t="shared" ca="1" si="4"/>
        <v>2201.1800327376354</v>
      </c>
      <c r="M36">
        <f t="shared" ca="1" si="0"/>
        <v>4</v>
      </c>
    </row>
    <row r="37" spans="5:13" x14ac:dyDescent="0.15">
      <c r="E37" s="63">
        <v>556</v>
      </c>
      <c r="H37" s="7">
        <v>33</v>
      </c>
      <c r="I37">
        <f t="shared" ref="I37:I53" ca="1" si="5">NORMINV(RAND(),$E$55*1.05,$E$56*1.05)</f>
        <v>324.10235373466668</v>
      </c>
      <c r="J37">
        <f t="shared" ca="1" si="2"/>
        <v>5</v>
      </c>
      <c r="K37">
        <f t="shared" ca="1" si="3"/>
        <v>0</v>
      </c>
      <c r="L37">
        <f t="shared" ca="1" si="4"/>
        <v>1877.0776790029688</v>
      </c>
      <c r="M37">
        <f t="shared" ca="1" si="0"/>
        <v>4</v>
      </c>
    </row>
    <row r="38" spans="5:13" x14ac:dyDescent="0.15">
      <c r="E38" s="63">
        <v>579</v>
      </c>
      <c r="H38" s="7">
        <v>34</v>
      </c>
      <c r="I38">
        <f t="shared" ca="1" si="5"/>
        <v>544.35709312152801</v>
      </c>
      <c r="J38">
        <f t="shared" ca="1" si="2"/>
        <v>5</v>
      </c>
      <c r="K38">
        <f t="shared" ca="1" si="3"/>
        <v>4</v>
      </c>
      <c r="L38">
        <f t="shared" ca="1" si="4"/>
        <v>1332.7205858814409</v>
      </c>
      <c r="M38">
        <f t="shared" ref="M38:M54" ca="1" si="6">IF(L38=0,M37+1,M37)</f>
        <v>4</v>
      </c>
    </row>
    <row r="39" spans="5:13" x14ac:dyDescent="0.15">
      <c r="E39" s="63">
        <v>552</v>
      </c>
      <c r="H39" s="7">
        <v>35</v>
      </c>
      <c r="I39">
        <f t="shared" ca="1" si="5"/>
        <v>432.24107956431504</v>
      </c>
      <c r="J39">
        <f t="shared" ca="1" si="2"/>
        <v>5</v>
      </c>
      <c r="K39">
        <f t="shared" ca="1" si="3"/>
        <v>3</v>
      </c>
      <c r="L39">
        <f t="shared" ca="1" si="4"/>
        <v>900.47950631712592</v>
      </c>
      <c r="M39">
        <f t="shared" ca="1" si="6"/>
        <v>4</v>
      </c>
    </row>
    <row r="40" spans="5:13" x14ac:dyDescent="0.15">
      <c r="E40" s="63">
        <v>582</v>
      </c>
      <c r="H40" s="7">
        <v>36</v>
      </c>
      <c r="I40">
        <f t="shared" ca="1" si="5"/>
        <v>392.46169898048612</v>
      </c>
      <c r="J40">
        <f t="shared" ca="1" si="2"/>
        <v>5</v>
      </c>
      <c r="K40">
        <f t="shared" ca="1" si="3"/>
        <v>2</v>
      </c>
      <c r="L40">
        <f t="shared" ca="1" si="4"/>
        <v>508.01780733663981</v>
      </c>
      <c r="M40">
        <f t="shared" ca="1" si="6"/>
        <v>4</v>
      </c>
    </row>
    <row r="41" spans="5:13" x14ac:dyDescent="0.15">
      <c r="E41" s="63">
        <v>544</v>
      </c>
      <c r="H41" s="7">
        <v>37</v>
      </c>
      <c r="I41">
        <f t="shared" ca="1" si="5"/>
        <v>499.04731125583061</v>
      </c>
      <c r="J41">
        <f t="shared" ca="1" si="2"/>
        <v>5</v>
      </c>
      <c r="K41">
        <f t="shared" ca="1" si="3"/>
        <v>1</v>
      </c>
      <c r="L41">
        <f t="shared" ca="1" si="4"/>
        <v>8.9704960808091982</v>
      </c>
      <c r="M41">
        <f t="shared" ca="1" si="6"/>
        <v>4</v>
      </c>
    </row>
    <row r="42" spans="5:13" x14ac:dyDescent="0.15">
      <c r="E42" s="63">
        <v>595</v>
      </c>
      <c r="H42" s="7">
        <v>38</v>
      </c>
      <c r="I42">
        <f t="shared" ca="1" si="5"/>
        <v>581.14125245085984</v>
      </c>
      <c r="J42">
        <f t="shared" ca="1" si="2"/>
        <v>5</v>
      </c>
      <c r="K42">
        <f t="shared" ca="1" si="3"/>
        <v>2359</v>
      </c>
      <c r="L42">
        <f t="shared" ca="1" si="4"/>
        <v>1768.8882514683307</v>
      </c>
      <c r="M42">
        <f t="shared" ca="1" si="6"/>
        <v>4</v>
      </c>
    </row>
    <row r="43" spans="5:13" x14ac:dyDescent="0.15">
      <c r="E43" s="63">
        <v>558</v>
      </c>
      <c r="H43" s="7">
        <v>39</v>
      </c>
      <c r="I43">
        <f t="shared" ca="1" si="5"/>
        <v>612.11456905542479</v>
      </c>
      <c r="J43">
        <f t="shared" ca="1" si="2"/>
        <v>6</v>
      </c>
      <c r="K43">
        <f t="shared" ca="1" si="3"/>
        <v>0</v>
      </c>
      <c r="L43">
        <f t="shared" ca="1" si="4"/>
        <v>1156.7736824129061</v>
      </c>
      <c r="M43">
        <f t="shared" ca="1" si="6"/>
        <v>4</v>
      </c>
    </row>
    <row r="44" spans="5:13" x14ac:dyDescent="0.15">
      <c r="E44" s="63">
        <v>561</v>
      </c>
      <c r="H44" s="7">
        <v>40</v>
      </c>
      <c r="I44">
        <f t="shared" ca="1" si="5"/>
        <v>317.79511389891002</v>
      </c>
      <c r="J44">
        <f t="shared" ca="1" si="2"/>
        <v>6</v>
      </c>
      <c r="K44">
        <f t="shared" ca="1" si="3"/>
        <v>5</v>
      </c>
      <c r="L44">
        <f t="shared" ca="1" si="4"/>
        <v>838.97856851399604</v>
      </c>
      <c r="M44">
        <f t="shared" ca="1" si="6"/>
        <v>4</v>
      </c>
    </row>
    <row r="45" spans="5:13" x14ac:dyDescent="0.15">
      <c r="E45" s="63">
        <v>590</v>
      </c>
      <c r="H45" s="7">
        <v>41</v>
      </c>
      <c r="I45">
        <f t="shared" ca="1" si="5"/>
        <v>841.32173966769801</v>
      </c>
      <c r="J45">
        <f t="shared" ca="1" si="2"/>
        <v>6</v>
      </c>
      <c r="K45">
        <f t="shared" ca="1" si="3"/>
        <v>4</v>
      </c>
      <c r="L45">
        <f t="shared" ca="1" si="4"/>
        <v>0</v>
      </c>
      <c r="M45">
        <f t="shared" ca="1" si="6"/>
        <v>5</v>
      </c>
    </row>
    <row r="46" spans="5:13" x14ac:dyDescent="0.15">
      <c r="E46" s="63">
        <v>541</v>
      </c>
      <c r="H46" s="7">
        <v>42</v>
      </c>
      <c r="I46">
        <f t="shared" ca="1" si="5"/>
        <v>547.55016017643993</v>
      </c>
      <c r="J46">
        <f t="shared" ca="1" si="2"/>
        <v>6</v>
      </c>
      <c r="K46">
        <f t="shared" ca="1" si="3"/>
        <v>3</v>
      </c>
      <c r="L46">
        <f t="shared" ca="1" si="4"/>
        <v>0</v>
      </c>
      <c r="M46">
        <f t="shared" ca="1" si="6"/>
        <v>6</v>
      </c>
    </row>
    <row r="47" spans="5:13" x14ac:dyDescent="0.15">
      <c r="E47" s="63">
        <v>592</v>
      </c>
      <c r="H47" s="7">
        <v>43</v>
      </c>
      <c r="I47">
        <f t="shared" ca="1" si="5"/>
        <v>335.61874459921148</v>
      </c>
      <c r="J47">
        <f t="shared" ca="1" si="2"/>
        <v>6</v>
      </c>
      <c r="K47">
        <f t="shared" ca="1" si="3"/>
        <v>2</v>
      </c>
      <c r="L47">
        <f t="shared" ca="1" si="4"/>
        <v>0</v>
      </c>
      <c r="M47">
        <f t="shared" ca="1" si="6"/>
        <v>7</v>
      </c>
    </row>
    <row r="48" spans="5:13" x14ac:dyDescent="0.15">
      <c r="E48" s="63">
        <v>582</v>
      </c>
      <c r="H48" s="7">
        <v>44</v>
      </c>
      <c r="I48">
        <f t="shared" ca="1" si="5"/>
        <v>508.83759537270072</v>
      </c>
      <c r="J48">
        <f t="shared" ca="1" si="2"/>
        <v>6</v>
      </c>
      <c r="K48">
        <f t="shared" ca="1" si="3"/>
        <v>1</v>
      </c>
      <c r="L48">
        <f t="shared" ca="1" si="4"/>
        <v>0</v>
      </c>
      <c r="M48">
        <f t="shared" ca="1" si="6"/>
        <v>8</v>
      </c>
    </row>
    <row r="49" spans="1:14" x14ac:dyDescent="0.15">
      <c r="E49" s="63">
        <v>560</v>
      </c>
      <c r="H49" s="7">
        <v>45</v>
      </c>
      <c r="I49">
        <f t="shared" ca="1" si="5"/>
        <v>520.60171230718174</v>
      </c>
      <c r="J49">
        <f t="shared" ca="1" si="2"/>
        <v>7</v>
      </c>
      <c r="K49">
        <f t="shared" ca="1" si="3"/>
        <v>2359</v>
      </c>
      <c r="L49">
        <f t="shared" ca="1" si="4"/>
        <v>1838.3982876928183</v>
      </c>
      <c r="M49">
        <f t="shared" ca="1" si="6"/>
        <v>8</v>
      </c>
    </row>
    <row r="50" spans="1:14" x14ac:dyDescent="0.15">
      <c r="E50" s="63">
        <v>590</v>
      </c>
      <c r="H50" s="7">
        <v>46</v>
      </c>
      <c r="I50">
        <f t="shared" ca="1" si="5"/>
        <v>683.35973164544293</v>
      </c>
      <c r="J50">
        <f t="shared" ca="1" si="2"/>
        <v>7</v>
      </c>
      <c r="K50">
        <f t="shared" ca="1" si="3"/>
        <v>0</v>
      </c>
      <c r="L50">
        <f t="shared" ca="1" si="4"/>
        <v>1155.0385560473753</v>
      </c>
      <c r="M50">
        <f t="shared" ca="1" si="6"/>
        <v>8</v>
      </c>
    </row>
    <row r="51" spans="1:14" x14ac:dyDescent="0.15">
      <c r="A51" s="14"/>
      <c r="E51" s="63">
        <v>329</v>
      </c>
      <c r="H51" s="7">
        <v>47</v>
      </c>
      <c r="I51">
        <f t="shared" ca="1" si="5"/>
        <v>436.61249083471142</v>
      </c>
      <c r="J51">
        <f t="shared" ca="1" si="2"/>
        <v>7</v>
      </c>
      <c r="K51">
        <f t="shared" ca="1" si="3"/>
        <v>6</v>
      </c>
      <c r="L51">
        <f t="shared" ca="1" si="4"/>
        <v>718.42606521266384</v>
      </c>
      <c r="M51">
        <f t="shared" ca="1" si="6"/>
        <v>8</v>
      </c>
    </row>
    <row r="52" spans="1:14" x14ac:dyDescent="0.15">
      <c r="A52" s="45"/>
      <c r="E52" s="63">
        <v>368</v>
      </c>
      <c r="H52" s="7">
        <v>48</v>
      </c>
      <c r="I52">
        <f ca="1">NORMINV(RAND(),$E$55*1.05,$E$56*1.05)</f>
        <v>428.61195643411139</v>
      </c>
      <c r="J52">
        <f t="shared" ca="1" si="2"/>
        <v>7</v>
      </c>
      <c r="K52">
        <f t="shared" ca="1" si="3"/>
        <v>5</v>
      </c>
      <c r="L52">
        <f t="shared" ca="1" si="4"/>
        <v>289.81410877855245</v>
      </c>
      <c r="M52">
        <f t="shared" ca="1" si="6"/>
        <v>8</v>
      </c>
    </row>
    <row r="53" spans="1:14" x14ac:dyDescent="0.15">
      <c r="A53" s="45"/>
      <c r="E53" s="63">
        <v>373</v>
      </c>
      <c r="H53" s="7">
        <v>49</v>
      </c>
      <c r="I53">
        <f t="shared" ca="1" si="5"/>
        <v>494.01503861675457</v>
      </c>
      <c r="J53">
        <f t="shared" ca="1" si="2"/>
        <v>8</v>
      </c>
      <c r="K53">
        <f t="shared" ca="1" si="3"/>
        <v>4</v>
      </c>
      <c r="L53">
        <f t="shared" ca="1" si="4"/>
        <v>0</v>
      </c>
      <c r="M53">
        <f t="shared" ca="1" si="6"/>
        <v>9</v>
      </c>
    </row>
    <row r="54" spans="1:14" x14ac:dyDescent="0.15">
      <c r="A54" s="45"/>
      <c r="E54" s="63">
        <v>344</v>
      </c>
      <c r="H54" s="7">
        <v>50</v>
      </c>
      <c r="I54">
        <f ca="1">NORMINV(RAND(),$E$55*1.05,$E$56*1.05)</f>
        <v>447.99558047285711</v>
      </c>
      <c r="J54">
        <f t="shared" ca="1" si="2"/>
        <v>8</v>
      </c>
      <c r="K54">
        <f t="shared" ca="1" si="3"/>
        <v>3</v>
      </c>
      <c r="L54">
        <f t="shared" ca="1" si="4"/>
        <v>0</v>
      </c>
      <c r="M54">
        <f t="shared" ca="1" si="6"/>
        <v>10</v>
      </c>
    </row>
    <row r="55" spans="1:14" x14ac:dyDescent="0.15">
      <c r="A55" s="45"/>
      <c r="D55" s="52" t="s">
        <v>6</v>
      </c>
      <c r="E55" s="64">
        <f>AVERAGE(E5:E54)</f>
        <v>441.56</v>
      </c>
      <c r="H55" s="52" t="s">
        <v>6</v>
      </c>
      <c r="I55" s="46">
        <f ca="1">AVERAGE(I6:I54)</f>
        <v>455.55155393985859</v>
      </c>
      <c r="M55" s="52" t="s">
        <v>72</v>
      </c>
      <c r="N55" s="46">
        <f ca="1">20*50*(C11/2+C10-C12)+C15*((I55*50)/C11)</f>
        <v>2619432.8798809461</v>
      </c>
    </row>
    <row r="56" spans="1:14" x14ac:dyDescent="0.15">
      <c r="A56" s="45"/>
      <c r="D56" s="52" t="s">
        <v>7</v>
      </c>
      <c r="E56" s="64">
        <f t="shared" ref="E56" si="7">STDEV(E5:E54)</f>
        <v>118.87142084570857</v>
      </c>
      <c r="H56" s="52" t="s">
        <v>7</v>
      </c>
      <c r="I56" s="46">
        <f ca="1">STDEV(I6:I54)</f>
        <v>133.38340109919397</v>
      </c>
    </row>
    <row r="57" spans="1:14" x14ac:dyDescent="0.15">
      <c r="N57" s="65"/>
    </row>
  </sheetData>
  <pageMargins left="0.7" right="0.7" top="0.75" bottom="0.75" header="0.3" footer="0.3"/>
  <pageSetup paperSize="9" scale="53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Dados</vt:lpstr>
      <vt:lpstr>Dados TP2</vt:lpstr>
      <vt:lpstr>prazo_entrega</vt:lpstr>
      <vt:lpstr>Q1_2014</vt:lpstr>
      <vt:lpstr>Plan1</vt:lpstr>
      <vt:lpstr>Plan2</vt:lpstr>
      <vt:lpstr>Plan3</vt:lpstr>
      <vt:lpstr>Q2_2015</vt:lpstr>
      <vt:lpstr>simulacao</vt:lpstr>
    </vt:vector>
  </TitlesOfParts>
  <Company>DPS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JT</dc:creator>
  <cp:lastModifiedBy>Usuário do Microsoft Office</cp:lastModifiedBy>
  <cp:lastPrinted>2015-06-22T12:23:42Z</cp:lastPrinted>
  <dcterms:created xsi:type="dcterms:W3CDTF">2004-04-01T10:58:22Z</dcterms:created>
  <dcterms:modified xsi:type="dcterms:W3CDTF">2015-06-22T13:48:19Z</dcterms:modified>
</cp:coreProperties>
</file>